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kblatt" sheetId="1" state="visible" r:id="rId3"/>
    <sheet name="Checkliste" sheetId="2" state="visible" r:id="rId4"/>
    <sheet name="Auswertung" sheetId="3" state="visible" r:id="rId5"/>
    <sheet name="Baseline (Skript)" sheetId="4" state="visible" r:id="rId6"/>
    <sheet name="Kürzel" sheetId="5" state="visible" r:id="rId7"/>
  </sheets>
  <definedNames>
    <definedName function="false" hidden="true" localSheetId="3" name="_xlnm._FilterDatabase" vbProcedure="false">'Baseline (Skript)'!$A$1:$D$121</definedName>
    <definedName function="false" hidden="true" localSheetId="1" name="_xlnm._FilterDatabase" vbProcedure="false">Checkliste!$A$1:$P$148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1" authorId="0">
      <text>
        <r>
          <rPr>
            <sz val="10"/>
            <rFont val="Arial"/>
            <family val="2"/>
          </rPr>
          <t xml:space="preserve">Hier den tatsächlich vorgefundenen Wert eintragen. Das Skript Invoke-EopAudit.ps1 liefert diese Werte als CSV.</t>
        </r>
      </text>
    </comment>
    <comment ref="F1" authorId="0">
      <text>
        <r>
          <rPr>
            <sz val="10"/>
            <rFont val="Arial"/>
            <family val="2"/>
          </rPr>
          <t xml:space="preserve">Zielwert dieses Hardening-Standards. Wo er von der Empfehlung von 2023 abweicht, steht die Begründung in der Spalte Hinweise.</t>
        </r>
      </text>
    </comment>
  </commentList>
</comments>
</file>

<file path=xl/sharedStrings.xml><?xml version="1.0" encoding="utf-8"?>
<sst xmlns="http://schemas.openxmlformats.org/spreadsheetml/2006/main" count="2639" uniqueCount="1167">
  <si>
    <t xml:space="preserve">EOP / Microsoft Defender for Office 365</t>
  </si>
  <si>
    <t xml:space="preserve">Assessment- und Umsetzungs-Checkliste</t>
  </si>
  <si>
    <t xml:space="preserve">Wiederverwendbarer Hardening-Standard · Recherchestand August 2026</t>
  </si>
  <si>
    <t xml:space="preserve">Projektangaben</t>
  </si>
  <si>
    <t xml:space="preserve">Kunde</t>
  </si>
  <si>
    <t xml:space="preserve">&lt;Kundenname eintragen&gt;</t>
  </si>
  <si>
    <t xml:space="preserve">Tenant / Primärdomäne</t>
  </si>
  <si>
    <t xml:space="preserve">&lt;kunde.onmicrosoft.com&gt;</t>
  </si>
  <si>
    <t xml:space="preserve">Weitere Maildomänen</t>
  </si>
  <si>
    <t xml:space="preserve">&lt;domain1.de, domain2.de&gt;</t>
  </si>
  <si>
    <t xml:space="preserve">Datum der Aufnahme</t>
  </si>
  <si>
    <t xml:space="preserve">&lt;TT.MM.JJJJ&gt;</t>
  </si>
  <si>
    <t xml:space="preserve">Durchgeführt von</t>
  </si>
  <si>
    <t xml:space="preserve">&lt;Name&gt;</t>
  </si>
  <si>
    <t xml:space="preserve">Lizenzstand (EOP / MDO P1 / MDO P2 / E5)</t>
  </si>
  <si>
    <t xml:space="preserve">&lt;z. B. M365 E3 + MDO P1&gt;</t>
  </si>
  <si>
    <t xml:space="preserve">MX-Ziel (zeigt direkt auf EXO?)</t>
  </si>
  <si>
    <t xml:space="preserve">&lt;ja / nein — falls nein: welches Gateway?&gt;</t>
  </si>
  <si>
    <t xml:space="preserve">Hybrid mit On-Prem Exchange?</t>
  </si>
  <si>
    <t xml:space="preserve">&lt;ja / nein — falls ja: Version&gt;</t>
  </si>
  <si>
    <t xml:space="preserve">Preset-Nutzung im Ist-Zustand</t>
  </si>
  <si>
    <t xml:space="preserve">&lt;keines / Standard / Strict / Custom&gt;</t>
  </si>
  <si>
    <t xml:space="preserve">So wird die Liste benutzt</t>
  </si>
  <si>
    <t xml:space="preserve">1.</t>
  </si>
  <si>
    <t xml:space="preserve">Auf dem Blatt „Checkliste“ nur die gelb hinterlegten Spalten ausfüllen: Ist-Wert, Bewertung, Notizen.</t>
  </si>
  <si>
    <t xml:space="preserve">2.</t>
  </si>
  <si>
    <t xml:space="preserve">Die Spalte „Prüfung (PowerShell)“ liefert den Befehl, der den Ist-Wert ausliest. Alternativ das Skript Invoke-EopAudit.ps1 laufen lassen — es füllt die Ist-Werte automatisch als CSV.</t>
  </si>
  <si>
    <t xml:space="preserve">3.</t>
  </si>
  <si>
    <t xml:space="preserve">„Bewertung“ ist eine Auswahlliste. „bewusst abgewichen“ ist ein legitimes Ergebnis — dann bitte die Begründung in „Notizen“ festhalten.</t>
  </si>
  <si>
    <t xml:space="preserve">4.</t>
  </si>
  <si>
    <t xml:space="preserve">Die Spalten MS Default / Standard / Strict zeigen, was Microsoft an dieser Stelle vorgibt. Sie sind die Argumentationsgrundlage gegenüber dem Kunden.</t>
  </si>
  <si>
    <t xml:space="preserve">5.</t>
  </si>
  <si>
    <t xml:space="preserve">Das Blatt „Auswertung“ zählt automatisch mit und ist die Basis für die Abschlussbesprechung.</t>
  </si>
  <si>
    <t xml:space="preserve">6.</t>
  </si>
  <si>
    <t xml:space="preserve">Ausführliche Begründungen zu jedem Prüfpunkt stehen im Begleitdokument „EOP-MDO Best Practice Guide“ — dort ist dieselbe ID verwendet.</t>
  </si>
  <si>
    <t xml:space="preserve">Bedeutung der Bewertungen</t>
  </si>
  <si>
    <t xml:space="preserve">OK</t>
  </si>
  <si>
    <t xml:space="preserve">Ist-Wert entspricht dem Soll. Keine Maßnahme.</t>
  </si>
  <si>
    <t xml:space="preserve">Verbesserung empfohlen</t>
  </si>
  <si>
    <t xml:space="preserve">Abweichung ohne akutes Risiko. Einplanen, nicht dringend.</t>
  </si>
  <si>
    <t xml:space="preserve">Kritisch</t>
  </si>
  <si>
    <t xml:space="preserve">Schutzwirkung fehlt oder ist wirkungslos. Sofort adressieren.</t>
  </si>
  <si>
    <t xml:space="preserve">n.a. (nicht lizenziert)</t>
  </si>
  <si>
    <t xml:space="preserve">Feature im Tenant nicht verfügbar. Als Lizenzargument notieren.</t>
  </si>
  <si>
    <t xml:space="preserve">bewusst abgewichen</t>
  </si>
  <si>
    <t xml:space="preserve">Abweichung ist gewollt und begründet. Begründung gehört in „Notizen“.</t>
  </si>
  <si>
    <t xml:space="preserve">offen</t>
  </si>
  <si>
    <t xml:space="preserve">Noch nicht geprüft.</t>
  </si>
  <si>
    <t xml:space="preserve">Hinweis zur Verwendung</t>
  </si>
  <si>
    <t xml:space="preserve">Alle Cmdlets und Parameter wurden gegen die Microsoft-Learn-Referenz (Stand August 2026) verifiziert. Sie wurden jedoch NICHT gegen einen Produktivtenant getestet. Vor der Umsetzung immer erst das Audit-Skript im Lesemodus laufen lassen und das Hardening-Skript mit -WhatIf.</t>
  </si>
  <si>
    <t xml:space="preserve">ID</t>
  </si>
  <si>
    <t xml:space="preserve">Kategorie</t>
  </si>
  <si>
    <t xml:space="preserve">Prüfpunkt</t>
  </si>
  <si>
    <t xml:space="preserve">Ist-Wert beim Kunden</t>
  </si>
  <si>
    <t xml:space="preserve">Bewertung</t>
  </si>
  <si>
    <t xml:space="preserve">Soll 2026 (Baseline)</t>
  </si>
  <si>
    <t xml:space="preserve">Bisherige Empfehlung (2023)</t>
  </si>
  <si>
    <t xml:space="preserve">MS Default</t>
  </si>
  <si>
    <t xml:space="preserve">MS Standard-Preset</t>
  </si>
  <si>
    <t xml:space="preserve">MS Strict-Preset</t>
  </si>
  <si>
    <t xml:space="preserve">Lizenz</t>
  </si>
  <si>
    <t xml:space="preserve">Prüfung (PowerShell)</t>
  </si>
  <si>
    <t xml:space="preserve">Umsetzung (PowerShell)</t>
  </si>
  <si>
    <t xml:space="preserve">Fundort (Klickpfad im Portal)</t>
  </si>
  <si>
    <t xml:space="preserve">Portal öffnen</t>
  </si>
  <si>
    <t xml:space="preserve">Microsoft Learn</t>
  </si>
  <si>
    <t xml:space="preserve">Hinweise, Fallstricke, Abweichungen</t>
  </si>
  <si>
    <t xml:space="preserve">Notizen / Ticket</t>
  </si>
  <si>
    <t xml:space="preserve">BEISPIEL</t>
  </si>
  <si>
    <t xml:space="preserve">— Beispielzeile, bitte löschen —</t>
  </si>
  <si>
    <t xml:space="preserve">So sieht eine ausgefüllte Zeile aus</t>
  </si>
  <si>
    <t xml:space="preserve">BulkThreshold = 7</t>
  </si>
  <si>
    <t xml:space="preserve">6</t>
  </si>
  <si>
    <t xml:space="preserve">6 statt 7</t>
  </si>
  <si>
    <t xml:space="preserve">7</t>
  </si>
  <si>
    <t xml:space="preserve">5</t>
  </si>
  <si>
    <t xml:space="preserve">EOP</t>
  </si>
  <si>
    <t xml:space="preserve">Get-HostedContentFilterPolicy | ft Name,BulkThreshold</t>
  </si>
  <si>
    <t xml:space="preserve">Set-HostedContentFilterPolicy -Identity "Default" -BulkThreshold 6</t>
  </si>
  <si>
    <t xml:space="preserve">Defender-Portal &gt; Bedrohungsrichtlinien &gt; Antispam &gt; &lt;Richtlinie&gt; &gt; "Massen-E-Mail-Schwellenwert &amp; Spameigenschaften"</t>
  </si>
  <si>
    <t xml:space="preserve">Portal</t>
  </si>
  <si>
    <t xml:space="preserve">Learn</t>
  </si>
  <si>
    <t xml:space="preserve">Mit dem Kunden am 12.08. besprochen, Umsetzung im Wartungsfenster.</t>
  </si>
  <si>
    <t xml:space="preserve">TICKET-4711</t>
  </si>
  <si>
    <t xml:space="preserve">Preset Security Policies</t>
  </si>
  <si>
    <t xml:space="preserve">PRE-01</t>
  </si>
  <si>
    <t xml:space="preserve">Grundsatzentscheidung: Preset (Standard/Strict) vs. Custom-Policies</t>
  </si>
  <si>
    <t xml:space="preserve">Bewusste, dokumentierte Entscheidung. Empfehlung 2026: Custom-Policies auf Standard-Preset-Niveau, wo Kontrolle nötig ist (ASF, Quarantäne-Policies, Länderfilter) — sonst Standard-Preset.</t>
  </si>
  <si>
    <t xml:space="preserve">Default/Custom bevorzugt, weil dort alles von Hand vorgegeben werden kann. Standard nur, wenn keine Zeit. Hinweis: MS behält sich bei Standard/Strict Anpassungen vor.</t>
  </si>
  <si>
    <t xml:space="preserve">Standard/Strict sind ab Werk NICHT zugewiesen</t>
  </si>
  <si>
    <t xml:space="preserve">muss aktiviert werden</t>
  </si>
  <si>
    <t xml:space="preserve">EOP (EOP-Teil) / MDO P1+ (MDO-Teil)</t>
  </si>
  <si>
    <t xml:space="preserve">Get-EOPProtectionPolicyRule | Format-Table Name,State
Get-ATPProtectionPolicyRule | Format-Table Name,State</t>
  </si>
  <si>
    <t xml:space="preserve">Enable-EOPProtectionPolicyRule -Identity "Standard Preset Security Policy"
Enable-ATPProtectionPolicyRule -Identity "Standard Preset Security Policy"</t>
  </si>
  <si>
    <t xml:space="preserve">Defender-Portal &gt; Bedrohungsrichtlinien &gt; Voreingestellte Sicherheitsrichtlinien (Preset security policies)</t>
  </si>
  <si>
    <t xml:space="preserve">EOP-Teil und MDO-Teil des Presets werden GETRENNT aktiviert - ein Preset kann halb aktiv sein. Empfänger in Standard/Strict ignorieren alle Custom-Policy-Einstellungen (kein Merging).</t>
  </si>
  <si>
    <t xml:space="preserve">PRE-02</t>
  </si>
  <si>
    <t xml:space="preserve">Built-in protection Preset (Safe Links / Safe Attachments) aktiv, keine pauschalen Ausnahmen</t>
  </si>
  <si>
    <t xml:space="preserve">Aktiv, keine Ausnahmen für ganze Domänen</t>
  </si>
  <si>
    <t xml:space="preserve">—</t>
  </si>
  <si>
    <t xml:space="preserve">allen Empfängern zugewiesen (default-on)</t>
  </si>
  <si>
    <t xml:space="preserve">n.a.</t>
  </si>
  <si>
    <t xml:space="preserve">MDO P1/P2</t>
  </si>
  <si>
    <t xml:space="preserve">Get-ATPBuiltInProtectionRule | Format-List Name,State,ExceptIfRecipientDomainIs,ExceptIfSentTo,ExceptIfSentToMemberOf</t>
  </si>
  <si>
    <t xml:space="preserve">Set-ATPBuiltInProtectionRule -Identity "ATP Built-In Protection Rule" -ExceptIfRecipientDomainIs $null -ExceptIfSentTo $null -ExceptIfSentToMemberOf $null</t>
  </si>
  <si>
    <t xml:space="preserve">Defender-Portal &gt; Bedrohungsrichtlinien &gt; Voreingestellte Sicherheitsrichtlinien &gt; Integrierter Schutz (Built-in protection) &gt; "Ausschluesse verwalten"</t>
  </si>
  <si>
    <t xml:space="preserve">Built-in ist SCHWÄCHER als Standard/Strict (AllowClickThrough=$true, EnableForInternalSenders=$false) und deckt nur Safe Links/Safe Attachments ab. Kein Ersatz für Standard/Strict. Häufiges Anti-Pattern: alle Accepted Domains ausgeschlossen.</t>
  </si>
  <si>
    <t xml:space="preserve">PRE-03</t>
  </si>
  <si>
    <t xml:space="preserve">Policy-Präzedenz dokumentiert und geprüft (welche Policy greift je Empfänger?)</t>
  </si>
  <si>
    <t xml:space="preserve">Kette dokumentiert: Strict &gt; Standard &gt; MDO-Evaluation &gt; Custom (nach Priority) &gt; Built-in + Default (gleichrangig)</t>
  </si>
  <si>
    <t xml:space="preserve">Get-HostedContentFilterRule | Format-Table Name,Priority,State,SentTo,RecipientDomainIs
Get-AntiPhishRule | Format-Table Name,Priority,State
Get-MalwareFilterRule | Format-Table Name,Priority,State</t>
  </si>
  <si>
    <t xml:space="preserve">Set-HostedContentFilterRule -Identity "&lt;Rule&gt;" -Priority 0</t>
  </si>
  <si>
    <t xml:space="preserve">Kein eigener Portal-Screen. Praezedenz ablesen an der Spalte "Prioritaet" je Richtlinientyp (Antispam, Antiphishing, ...) plus der Preset-Seite</t>
  </si>
  <si>
    <t xml:space="preserve">Pro Empfänger greift genau EINE Policy je Typ - es gibt kein Merging. Verdict-Reihenfolge separat: Malware &gt; HC-Phish &gt; Phish &gt; HC-Spam &gt; Spoof &gt; Impersonation &gt; Spam &gt; Bulk.</t>
  </si>
  <si>
    <t xml:space="preserve">PRE-04</t>
  </si>
  <si>
    <t xml:space="preserve">Configuration Analyzer ausgewertet (Standard- und Strict-Empfehlungen)</t>
  </si>
  <si>
    <t xml:space="preserve">Vor und nach dem Hardening ausgeführt, Abweichungen dokumentiert</t>
  </si>
  <si>
    <t xml:space="preserve">Configuration Analyzer nutzen</t>
  </si>
  <si>
    <t xml:space="preserve">EOP / MDO</t>
  </si>
  <si>
    <t xml:space="preserve">Get-ConfigAnalyzerPolicyRecommendation -RecommendedPolicyType Standard
Get-ConfigAnalyzerPolicyRecommendation -RecommendedPolicyType Strict</t>
  </si>
  <si>
    <t xml:space="preserve">— (nur Analyse)</t>
  </si>
  <si>
    <t xml:space="preserve">Defender-Portal &gt; Bedrohungsrichtlinien &gt; Konfigurationsanalyse (Configuration analyzer) &gt; Reiter "Standardempfehlungen" / "Strenge Empfehlungen"</t>
  </si>
  <si>
    <t xml:space="preserve">Dritter Tab 'Configuration drift analysis and history' zeigt bis 90 Tage rückwirkend, wer wann was geändert hat - setzt aktiviertes Unified Auditing voraus. Ideal für Übergabe und Folgetermine.</t>
  </si>
  <si>
    <t xml:space="preserve">PRE-05</t>
  </si>
  <si>
    <t xml:space="preserve">Policy-Inventar: verwaiste und deaktivierte Policies</t>
  </si>
  <si>
    <t xml:space="preserve">Jede Policy hat eine aktive Regel oder ist bewusst stillgelegt und dokumentiert</t>
  </si>
  <si>
    <t xml:space="preserve">Get-SafeLinksPolicy | ForEach-Object { $n=$_.Name; $r=Get-SafeLinksRule | Where-Object { $_.SafeLinksPolicy -eq $n }; [pscustomobject]@{ Policy=$n; Regel=$r.Name; Status=$r.State; Prio=$r.Priority } }</t>
  </si>
  <si>
    <t xml:space="preserve">Enable-SafeLinksRule -Identity "&lt;Regelname&gt;"   # bzw. Remove-SafeLinksPolicy fuer echte Karteileichen</t>
  </si>
  <si>
    <t xml:space="preserve">Defender-Portal &gt; Bedrohungsrichtlinien &gt; Antispam (Spalten Status / Prioritaet / Typ), analog Antiphishing, Antischadsoftware, Sichere Links, Sichere Anlagen</t>
  </si>
  <si>
    <t xml:space="preserve">Zwei Zustaende, die im Portal schwer zu erkennen sind: (1) Eine Policy OHNE zugehoerige Regel ist im Defender-Portal unsichtbar und wirkt auf niemanden - sie entsteht typischerweise, wenn jemand per PowerShell eine Policy angelegt und die Rule vergessen hat. (2) Eine Policy mit DEAKTIVIERTER Regel existiert sichtbar, wirkt aber ebenfalls nicht. Beide sehen im Cmdlet-Output wie normale Policies aus. Das Audit-Skript weist sie im Abschnitt Policy-Inventar (INV-*) aus und bewertet ihre Werte bewusst nicht - eine Policy ohne Wirkung kann keinen Mangel haben. Beim Assessment entscheiden: reaktivieren, loeschen oder als bewusst stillgelegt dokumentieren.</t>
  </si>
  <si>
    <t xml:space="preserve">Anti-Spam inbound</t>
  </si>
  <si>
    <t xml:space="preserve">ASI-01</t>
  </si>
  <si>
    <t xml:space="preserve">Bulk-Schwellwert (BCL)</t>
  </si>
  <si>
    <t xml:space="preserve">Get-HostedContentFilterPolicy | Format-Table Name,BulkThreshold</t>
  </si>
  <si>
    <t xml:space="preserve">Defender-Portal &gt; Bedrohungsrichtlinien &gt; Antispam &gt; &lt;Richtlinie&gt; &gt; "Massen-E-Mail-Schwellenwert &amp; Spameigenschaften" &gt; Schieberegler "Massen-E-Mail-Schwellenwert"</t>
  </si>
  <si>
    <t xml:space="preserve">Empfehlung von 2023 deckt sich exakt mit dem MS-Standard-Preset. Schwelle ist 'größer oder gleich': bei 6 wird auch BCL 6 erfasst. 5 (Strict) fängt spürbar mehr legitimes Marketing ab - erst nach Messung.</t>
  </si>
  <si>
    <t xml:space="preserve">ASI-02</t>
  </si>
  <si>
    <t xml:space="preserve">Aktion bei Spam (SCL 5/6)</t>
  </si>
  <si>
    <t xml:space="preserve">MoveToJmf (Junk)</t>
  </si>
  <si>
    <t xml:space="preserve">In Junk zustellen ODER User-Quarantäne mit Benachrichtigung</t>
  </si>
  <si>
    <t xml:space="preserve">MoveToJmf</t>
  </si>
  <si>
    <t xml:space="preserve">Quarantine</t>
  </si>
  <si>
    <t xml:space="preserve">Get-HostedContentFilterPolicy | Format-Table Name,SpamAction,SpamQuarantineTag</t>
  </si>
  <si>
    <t xml:space="preserve">Set-HostedContentFilterPolicy -Identity "Default" -SpamAction MoveToJmf</t>
  </si>
  <si>
    <t xml:space="preserve">Defender-Portal &gt; Bedrohungsrichtlinien &gt; Antispam &gt; &lt;Richtlinie&gt; &gt; "Aktionen" &gt; Nachrichtenaktionen &gt; Zeile "Spam"</t>
  </si>
  <si>
    <t xml:space="preserve">Gültige Werte: AddXHeader, Delete, ModifySubject, MoveToJmf, Quarantine, Redirect. 'Delete' löscht ohne NDR - im Hardening nicht verwenden.</t>
  </si>
  <si>
    <t xml:space="preserve">ASI-03</t>
  </si>
  <si>
    <t xml:space="preserve">Aktion bei High Confidence Spam (SCL 7/8/9)</t>
  </si>
  <si>
    <t xml:space="preserve">Quarantine + DefaultFullAccessWithNotificationPolicy (MS-konform) ODER AdminOnlyAccessPolicy (strengere Variante, bewusste Abweichung)</t>
  </si>
  <si>
    <t xml:space="preserve">In Admin-Quarantäne, keine Benachrichtigung</t>
  </si>
  <si>
    <t xml:space="preserve">Quarantine + DefaultFullAccessWithNotificationPolicy</t>
  </si>
  <si>
    <t xml:space="preserve">Get-HostedContentFilterPolicy | Format-Table Name,HighConfidenceSpamAction,HighConfidenceSpamQuarantineTag</t>
  </si>
  <si>
    <t xml:space="preserve">Set-HostedContentFilterPolicy -Identity "Default" -HighConfidenceSpamAction Quarantine -HighConfidenceSpamQuarantineTag DefaultFullAccessWithNotificationPolicy</t>
  </si>
  <si>
    <t xml:space="preserve">Defender-Portal &gt; Bedrohungsrichtlinien &gt; Antispam &gt; &lt;Richtlinie&gt; &gt; "Aktionen" &gt; Nachrichtenaktionen &gt; Zeile "Spam mit hoher Sicherheit"</t>
  </si>
  <si>
    <t xml:space="preserve">ABWEICHUNG: Ursprungsdokument will Admin-Quarantäne ohne Benachrichtigung. Das ist strenger als MS, erzeugt aber Support-Last (jeder False Positive landet beim Admin). Entscheidung mit dem Kunden treffen und im Feld 'Notizen' dokumentieren.</t>
  </si>
  <si>
    <t xml:space="preserve">ASI-04</t>
  </si>
  <si>
    <t xml:space="preserve">Aktion bei Phishing</t>
  </si>
  <si>
    <t xml:space="preserve">In Admin-Quarantäne</t>
  </si>
  <si>
    <t xml:space="preserve">MoveToJmf (Default-Policy) / Quarantine (neu erstellte Policies)</t>
  </si>
  <si>
    <t xml:space="preserve">Get-HostedContentFilterPolicy | Format-Table Name,PhishSpamAction,PhishQuarantineTag</t>
  </si>
  <si>
    <t xml:space="preserve">Set-HostedContentFilterPolicy -Identity "Default" -PhishSpamAction Quarantine -PhishQuarantineTag DefaultFullAccessWithNotificationPolicy</t>
  </si>
  <si>
    <t xml:space="preserve">Defender-Portal &gt; Bedrohungsrichtlinien &gt; Antispam &gt; &lt;Richtlinie&gt; &gt; "Aktionen" &gt; Nachrichtenaktionen &gt; Zeile "Phishing"</t>
  </si>
  <si>
    <t xml:space="preserve">Achtung: die Default-Policy steht ab Werk auf MoveToJmf - Phishing landet also im Junk-Ordner und ist für den Nutzer erreichbar. Das ist einer der wichtigsten Quick Wins.</t>
  </si>
  <si>
    <t xml:space="preserve">ASI-05</t>
  </si>
  <si>
    <t xml:space="preserve">Aktion bei High Confidence Phishing</t>
  </si>
  <si>
    <t xml:space="preserve">Quarantine + AdminOnlyAccessPolicy</t>
  </si>
  <si>
    <t xml:space="preserve">Get-HostedContentFilterPolicy | Format-Table Name,HighConfidencePhishAction,HighConfidencePhishQuarantineTag</t>
  </si>
  <si>
    <t xml:space="preserve">Set-HostedContentFilterPolicy -Identity "Default" -HighConfidencePhishAction Quarantine -HighConfidencePhishQuarantineTag AdminOnlyAccessPolicy</t>
  </si>
  <si>
    <t xml:space="preserve">Defender-Portal &gt; Bedrohungsrichtlinien &gt; Antispam &gt; &lt;Richtlinie&gt; &gt; "Aktionen" &gt; Nachrichtenaktionen &gt; Zeile "Phishing mit hoher Sicherheit"</t>
  </si>
  <si>
    <t xml:space="preserve">HighConfidencePhishAction kennt nur Quarantine und Redirect - MoveToJmf ist nicht möglich. Empfehlung von 2023 ist hier identisch mit dem MS-Default.</t>
  </si>
  <si>
    <t xml:space="preserve">ASI-06</t>
  </si>
  <si>
    <t xml:space="preserve">Aktion bei Bulk (BCL-Schwelle erreicht)</t>
  </si>
  <si>
    <t xml:space="preserve">eigene Action für 'BCL met or exceeded' festlegen</t>
  </si>
  <si>
    <t xml:space="preserve">Get-HostedContentFilterPolicy | Format-Table Name,BulkSpamAction,BulkQuarantineTag,MarkAsSpamBulkMail</t>
  </si>
  <si>
    <t xml:space="preserve">Set-HostedContentFilterPolicy -Identity "Default" -BulkSpamAction MoveToJmf</t>
  </si>
  <si>
    <t xml:space="preserve">Defender-Portal &gt; Bedrohungsrichtlinien &gt; Antispam &gt; &lt;Richtlinie&gt; &gt; "Aktionen" &gt; Nachrichtenaktionen &gt; Zeile "Massenkonforme Ebene (BCL) erreicht oder ueberschritten"</t>
  </si>
  <si>
    <t xml:space="preserve">BulkSpamAction ist der einzige Aktions-Parameter mit dem Wert 'NoAction'. MarkAsSpamBulkMail muss auf 'On' bleiben, sonst wirkt die BCL-Schwelle faktisch nicht.</t>
  </si>
  <si>
    <t xml:space="preserve">ASI-07</t>
  </si>
  <si>
    <t xml:space="preserve">Spam Safety Tips (farbige Inline-Warnung)</t>
  </si>
  <si>
    <t xml:space="preserve">$true</t>
  </si>
  <si>
    <t xml:space="preserve">ein</t>
  </si>
  <si>
    <t xml:space="preserve">Get-HostedContentFilterPolicy | Format-Table Name,InlineSafetyTipsEnabled</t>
  </si>
  <si>
    <t xml:space="preserve">Set-HostedContentFilterPolicy -Identity "Default" -InlineSafetyTipsEnabled $true</t>
  </si>
  <si>
    <t xml:space="preserve">Defender-Portal &gt; Bedrohungsrichtlinien &gt; Antispam &gt; &lt;Richtlinie&gt; &gt; "Aktionen" &gt; Abschnitt "Sicherheitstipps" &gt; Haken "Sicherheitstipps aktivieren"</t>
  </si>
  <si>
    <t xml:space="preserve">Nicht abschalten. Kostet nichts, ist in allen Presets aktiv.</t>
  </si>
  <si>
    <t xml:space="preserve">ASI-08</t>
  </si>
  <si>
    <t xml:space="preserve">ZAP für Spam und Phishing</t>
  </si>
  <si>
    <t xml:space="preserve">SpamZapEnabled $true, PhishZapEnabled $true</t>
  </si>
  <si>
    <t xml:space="preserve">beide $true</t>
  </si>
  <si>
    <t xml:space="preserve">Get-HostedContentFilterPolicy | Format-Table Name,SpamZapEnabled,PhishZapEnabled</t>
  </si>
  <si>
    <t xml:space="preserve">Set-HostedContentFilterPolicy -Identity "Default" -SpamZapEnabled $true -PhishZapEnabled $true</t>
  </si>
  <si>
    <t xml:space="preserve">Defender-Portal &gt; Bedrohungsrichtlinien &gt; Antispam &gt; &lt;Richtlinie&gt; &gt; "Aktionen" &gt; "Automatische Bereinigung (ZAP) aktivieren" mit den zwei Unterhaken fuer Phishing und Spam</t>
  </si>
  <si>
    <t xml:space="preserve">ÄNDERUNG seit 2023: der Sammelparameter 'ZapEnabled' existiert in Set-HostedContentFilterPolicy NICHT mehr. Er wurde in SpamZapEnabled und PhishZapEnabled aufgeteilt. Malware-ZAP sitzt in der Anti-Malware-Policy (AMW-02).</t>
  </si>
  <si>
    <t xml:space="preserve">ASI-09</t>
  </si>
  <si>
    <t xml:space="preserve">Quarantäne-Aufbewahrung</t>
  </si>
  <si>
    <t xml:space="preserve">30 Tage</t>
  </si>
  <si>
    <t xml:space="preserve">15</t>
  </si>
  <si>
    <t xml:space="preserve">30</t>
  </si>
  <si>
    <t xml:space="preserve">Get-HostedContentFilterPolicy | Format-Table Name,QuarantineRetentionPeriod</t>
  </si>
  <si>
    <t xml:space="preserve">Set-HostedContentFilterPolicy -Identity "Default" -QuarantineRetentionPeriod 30</t>
  </si>
  <si>
    <t xml:space="preserve">Defender-Portal &gt; Bedrohungsrichtlinien &gt; Antispam &gt; &lt;Richtlinie&gt; &gt; "Aktionen" &gt; Feld "Spamnachrichten so viele Tage lang in Quarantaene aufbewahren" (1-30, Default 15)</t>
  </si>
  <si>
    <t xml:space="preserve">Maximum ist 30 Tage, mehr geht nicht. Der Wert wirkt auch auf Nachrichten, die durch die Anti-Phishing-Policy quarantäniert wurden. Anti-Malware und Safe Attachments sind fix auf 30 Tage und nicht konfigurierbar.</t>
  </si>
  <si>
    <t xml:space="preserve">ASI-10</t>
  </si>
  <si>
    <t xml:space="preserve">Allowed senders / allowed sender domains leer bzw. begründet</t>
  </si>
  <si>
    <t xml:space="preserve">Leer. Ausnahmen ausschließlich über die Tenant Allow/Block List (TABL-01).</t>
  </si>
  <si>
    <t xml:space="preserve">Whitelisting sender/domain based möglich</t>
  </si>
  <si>
    <t xml:space="preserve">leer</t>
  </si>
  <si>
    <t xml:space="preserve">Get-HostedContentFilterPolicy | Format-List Name,AllowedSenders,AllowedSenderDomains,BlockedSenders,BlockedSenderDomains</t>
  </si>
  <si>
    <t xml:space="preserve">Set-HostedContentFilterPolicy -Identity "Default" -AllowedSenderDomains @{}</t>
  </si>
  <si>
    <t xml:space="preserve">Defender-Portal &gt; Bedrohungsrichtlinien &gt; Antispam &gt; &lt;Richtlinie&gt; &gt; "Zulassen- und Sperrliste" &gt; "Absender verwalten" / "Domaenen zulassen" (im Portal max. 30 Eintraege)</t>
  </si>
  <si>
    <t xml:space="preserve">KRITISCH: AllowedSenderDomains setzt SCL -1 und überspringt die komplette Spam- und Phishing-Filterung. Eine gespoofte Absenderdomain aus dieser Liste geht ungefiltert in den Posteingang. MS wörtlich: 'Think very carefully before you add domains here.'</t>
  </si>
  <si>
    <t xml:space="preserve">ASI-11</t>
  </si>
  <si>
    <t xml:space="preserve">Sprach- und Länderfilter</t>
  </si>
  <si>
    <t xml:space="preserve">Aus, sofern kein konkreter Anlass. Bei Einsatz: Trefferliste vorher per Threat Explorer messen.</t>
  </si>
  <si>
    <t xml:space="preserve">Blacklisting country based / language based verfügbar</t>
  </si>
  <si>
    <t xml:space="preserve">aus</t>
  </si>
  <si>
    <t xml:space="preserve">Get-HostedContentFilterPolicy | Format-List Name,EnableLanguageBlockList,LanguageBlockList,EnableRegionBlockList,RegionBlockList</t>
  </si>
  <si>
    <t xml:space="preserve">Set-HostedContentFilterPolicy -Identity "Default" -EnableRegionBlockList $false -EnableLanguageBlockList $false</t>
  </si>
  <si>
    <t xml:space="preserve">Defender-Portal &gt; Bedrohungsrichtlinien &gt; Antispam &gt; &lt;Richtlinie&gt; &gt; "Massen-E-Mail-Schwellenwert &amp; Spameigenschaften" &gt; Spameigenschaften &gt; "Enthaelt bestimmte Sprachen" / "Aus diesen Laendern" (gehoert NICHT zum ASF)</t>
  </si>
  <si>
    <t xml:space="preserve">Microsoft gibt hierzu ausdrücklich KEINE Empfehlung ab ('We have no specific recommendation for this setting') - warnt aber auch nicht davor. Kein Preset aktiviert es. Sprache wird aus dem Nachrichteninhalt geraten, Land aus der Quell-IP - beides umgehbar.</t>
  </si>
  <si>
    <t xml:space="preserve">ASI-12</t>
  </si>
  <si>
    <t xml:space="preserve">Intra-Organizational Filtering (interne Nachrichten)</t>
  </si>
  <si>
    <t xml:space="preserve">Default (= High Confidence Phishing)</t>
  </si>
  <si>
    <t xml:space="preserve">Default</t>
  </si>
  <si>
    <t xml:space="preserve">Get-HostedContentFilterPolicy | Format-Table Name,IntraOrgFilterState</t>
  </si>
  <si>
    <t xml:space="preserve">Set-HostedContentFilterPolicy -Identity "Default" -IntraOrgFilterState Default</t>
  </si>
  <si>
    <t xml:space="preserve">Defender-Portal &gt; Bedrohungsrichtlinien &gt; Antispam &gt; &lt;Richtlinie&gt; &gt; "Aktionen" &gt; "Organisationsinterne Nachrichten, fuer die Massnahmen ergriffen werden sollen"</t>
  </si>
  <si>
    <t xml:space="preserve">Neu gegenüber dem Ursprungsdokument. Werte: Default, HighConfidencePhish, Phish, HighConfidenceSpam, Spam, Disabled. Relevant bei kompromittierten internen Konten - erst nach Test verschärfen, sonst Fehlalarme auf internen Serienmails.</t>
  </si>
  <si>
    <t xml:space="preserve">Advanced Spam Filter (ASF)</t>
  </si>
  <si>
    <t xml:space="preserve">ASF-01</t>
  </si>
  <si>
    <t xml:space="preserve">ASF-Features zur Score-Erhöhung (Image links, Numeric IP, URL redirect, .biz/.info)</t>
  </si>
  <si>
    <t xml:space="preserve">Off (alle vier)</t>
  </si>
  <si>
    <t xml:space="preserve">Auswahlliste vorhanden - im Dokument gelistet, ohne Aktivierungsempfehlung</t>
  </si>
  <si>
    <t xml:space="preserve">Off</t>
  </si>
  <si>
    <t xml:space="preserve">Off (nicht Teil des Presets)</t>
  </si>
  <si>
    <t xml:space="preserve">Get-HostedContentFilterPolicy | Format-List Name,IncreaseScoreWithImageLinks,IncreaseScoreWithNumericIps,IncreaseScoreWithRedirectToOtherPort,IncreaseScoreWithBizOrInfoUrls</t>
  </si>
  <si>
    <t xml:space="preserve">Set-HostedContentFilterPolicy -Identity "Default" -IncreaseScoreWithImageLinks Off -IncreaseScoreWithNumericIps Off -IncreaseScoreWithRedirectToOtherPort Off -IncreaseScoreWithBizOrInfoUrls Off</t>
  </si>
  <si>
    <t xml:space="preserve">Defender-Portal &gt; Bedrohungsrichtlinien &gt; Antispam &gt; &lt;Richtlinie&gt; &gt; "Massen-E-Mail-Schwellenwert &amp; Spameigenschaften" &gt; Spameigenschaften &gt; Gruppe "Erhoehen der Spambewertung"</t>
  </si>
  <si>
    <t xml:space="preserve">Werte je Parameter: Off | On | Test. MS wörtlich: 'Enabling one or more of the ASF settings is an aggressive approach to spam filtering.' Und entscheidend: durch ASF gefilterte Nachrichten können NICHT als False Positive an Microsoft gemeldet werden - kein Feedback-Loop.</t>
  </si>
  <si>
    <t xml:space="preserve">ASF-02</t>
  </si>
  <si>
    <t xml:space="preserve">ASF-Features 'Mark as Spam' (Empty messages, HTML-Tags, Web bugs, Sensitive words u.a.)</t>
  </si>
  <si>
    <t xml:space="preserve">Off (alle acht)</t>
  </si>
  <si>
    <t xml:space="preserve">Auswahlliste vorhanden - im Dokument gelistet</t>
  </si>
  <si>
    <t xml:space="preserve">Get-HostedContentFilterPolicy | Format-List Name,MarkAsSpamEmptyMessages,MarkAsSpamEmbedTagsInHtml,MarkAsSpamJavaScriptInHtml,MarkAsSpamFormTagsInHtml,MarkAsSpamFramesInHtml,MarkAsSpamWebBugsInHtml,MarkAsSpamObjectTagsInHtml,MarkAsSpamSensitiveWordList</t>
  </si>
  <si>
    <t xml:space="preserve">Set-HostedContentFilterPolicy -Identity "Default" -MarkAsSpamEmptyMessages Off -MarkAsSpamEmbedTagsInHtml Off -MarkAsSpamJavaScriptInHtml Off -MarkAsSpamFormTagsInHtml Off -MarkAsSpamFramesInHtml Off -MarkAsSpamWebBugsInHtml Off -MarkAsSpamObjectTagsInHtml Off -MarkAsSpamSensitiveWordList Off</t>
  </si>
  <si>
    <t xml:space="preserve">Defender-Portal &gt; Bedrohungsrichtlinien &gt; Antispam &gt; &lt;Richtlinie&gt; &gt; "Massen-E-Mail-Schwellenwert &amp; Spameigenschaften" &gt; Spameigenschaften &gt; Gruppe "Als Spam markieren"</t>
  </si>
  <si>
    <t xml:space="preserve">Diese Treffer setzen SCL 9 (High Confidence Spam). Newsletter mit Tracking-Pixel oder eingebettetem Formular sind damit sofort HC-Spam. Wer ASF aktiviert, kann für die betroffenen Empfänger die Standard/Strict-Presets nicht mehr nutzen.</t>
  </si>
  <si>
    <t xml:space="preserve">ASF-03</t>
  </si>
  <si>
    <t xml:space="preserve">SPF Hard Fail als Spam-Kriterium</t>
  </si>
  <si>
    <t xml:space="preserve">Off — die Frage im Ursprungsdokument ist mit NEIN beantwortet</t>
  </si>
  <si>
    <t xml:space="preserve">Frage im Dokument offen gelassen: 'Das Spam-Feature ist also nicht mehr benötigt?'</t>
  </si>
  <si>
    <t xml:space="preserve">Get-HostedContentFilterPolicy | Format-Table Name,MarkAsSpamSpfRecordHardFail</t>
  </si>
  <si>
    <t xml:space="preserve">Set-HostedContentFilterPolicy -Identity "Default" -MarkAsSpamSpfRecordHardFail Off</t>
  </si>
  <si>
    <t xml:space="preserve">Defender-Portal &gt; Bedrohungsrichtlinien &gt; Antispam &gt; &lt;Richtlinie&gt; &gt; "Massen-E-Mail-Schwellenwert &amp; Spameigenschaften" &gt; Spameigenschaften &gt; "SPF-Eintrag: Hard Fail"</t>
  </si>
  <si>
    <t xml:space="preserve">Microsoft beantwortet die Frage in der Anti-Spoofing-FAQ wörtlich: 'No. This ASF setting is no longer required. (...) you will probably get more false positives.' Die Vermutung im Ursprungsdokument war also richtig - jetzt belegt.</t>
  </si>
  <si>
    <t xml:space="preserve">ASF-04</t>
  </si>
  <si>
    <t xml:space="preserve">Sender-ID Hard Fail und NDR-Backscatter</t>
  </si>
  <si>
    <t xml:space="preserve">Off (beide)</t>
  </si>
  <si>
    <t xml:space="preserve">'Sender ID filtering hard fail' und 'Backscatter' in der Feature-Liste genannt</t>
  </si>
  <si>
    <t xml:space="preserve">Get-HostedContentFilterPolicy | Format-Table Name,MarkAsSpamFromAddressAuthFail,MarkAsSpamNdrBackscatter</t>
  </si>
  <si>
    <t xml:space="preserve">Set-HostedContentFilterPolicy -Identity "Default" -MarkAsSpamFromAddressAuthFail Off -MarkAsSpamNdrBackscatter Off</t>
  </si>
  <si>
    <t xml:space="preserve">Defender-Portal &gt; Bedrohungsrichtlinien &gt; Antispam &gt; &lt;Richtlinie&gt; &gt; "Massen-E-Mail-Schwellenwert &amp; Spameigenschaften" &gt; Spameigenschaften &gt; "Absender-ID-Filterung: Hard Fail" und "Backscatter"</t>
  </si>
  <si>
    <t xml:space="preserve">NAMENSKORREKTUR: Der Parameter heißt MarkAsSpamFromAddressAuthFail, NICHT MarkAsSpamSenderIdHardFail (den gibt es nicht). Sender ID ist ein abgelöstes Verfahren. Backscatter wird von der regulären Filterung mit abgedeckt.</t>
  </si>
  <si>
    <t xml:space="preserve">ASF-05</t>
  </si>
  <si>
    <t xml:space="preserve">ASF Test-Modus</t>
  </si>
  <si>
    <t xml:space="preserve">None</t>
  </si>
  <si>
    <t xml:space="preserve">Get-HostedContentFilterPolicy | Format-Table Name,TestModeAction,TestModeBccToRecipients</t>
  </si>
  <si>
    <t xml:space="preserve">Set-HostedContentFilterPolicy -Identity "Default" -TestModeAction None</t>
  </si>
  <si>
    <t xml:space="preserve">Defender-Portal &gt; Bedrohungsrichtlinien &gt; Antispam &gt; &lt;Richtlinie&gt; &gt; "Massen-E-Mail-Schwellenwert &amp; Spameigenschaften" &gt; Spameigenschaften &gt; "Testmodus" (gilt global fuer alle auf Test gesetzten ASF-Optionen)</t>
  </si>
  <si>
    <t xml:space="preserve">Falls ASF doch einmal erprobt werden soll: erst alle gewünschten Settings auf 'Test' und TestModeAction auf AddXHeader, dann Trefferquote im Message Trace messen. TestModeAction gilt global für alle Test-Settings, nicht je Setting.</t>
  </si>
  <si>
    <t xml:space="preserve">Connection Filter</t>
  </si>
  <si>
    <t xml:space="preserve">CF-01</t>
  </si>
  <si>
    <t xml:space="preserve">IP Allow List</t>
  </si>
  <si>
    <t xml:space="preserve">Leer. Falls unvermeidbar: einzelne /32, dokumentiert, mit Ablaufdatum im Betriebshandbuch.</t>
  </si>
  <si>
    <t xml:space="preserve">wo benötigt, aber Vorsicht</t>
  </si>
  <si>
    <t xml:space="preserve">nicht Teil des Presets</t>
  </si>
  <si>
    <t xml:space="preserve">Get-HostedConnectionFilterPolicy -Identity Default | Format-List IPAllowList,IPBlockList,EnableSafeList</t>
  </si>
  <si>
    <t xml:space="preserve">Set-HostedConnectionFilterPolicy -Identity Default -IPAllowList @{}</t>
  </si>
  <si>
    <t xml:space="preserve">Defender-Portal &gt; Bedrohungsrichtlinien &gt; Antispam &gt; in der Liste die Zeile "Verbindungsfilterrichtlinie (Standard)" ANKLICKEN &gt; Flyout &gt; "Verbindungsfilterrichtlinie bearbeiten" &gt; "Nachrichten aus den folgenden IP-Adressen immer zulassen"</t>
  </si>
  <si>
    <t xml:space="preserve">Die Vorsicht im Ursprungsdokument ist berechtigt: IPAllowList setzt SCL -1 und überspringt Spam-, Phishing-, Bulk- und Spoof-Prüfung. Malware und High Confidence Phishing werden weiterhin geprüft. MS listet die IP Allow List als ZWEITSCHLECHTESTE aller Allow-Methoden.</t>
  </si>
  <si>
    <t xml:space="preserve">CF-02</t>
  </si>
  <si>
    <t xml:space="preserve">IP Block List</t>
  </si>
  <si>
    <t xml:space="preserve">Nur bei konkretem Anlass; IPv4-Blocks gehören hierher (nicht in die TABL).</t>
  </si>
  <si>
    <t xml:space="preserve">Blacklisting IP-address based</t>
  </si>
  <si>
    <t xml:space="preserve">Get-HostedConnectionFilterPolicy -Identity Default | Format-List IPBlockList</t>
  </si>
  <si>
    <t xml:space="preserve">Set-HostedConnectionFilterPolicy -Identity Default -IPBlockList @{Add="203.0.113.10"}</t>
  </si>
  <si>
    <t xml:space="preserve">Defender-Portal &gt; Bedrohungsrichtlinien &gt; Antispam &gt; Zeile "Verbindungsfilterrichtlinie (Standard)" &gt; "Verbindungsfilterrichtlinie bearbeiten" &gt; "Nachrichten aus den folgenden IP-Adressen immer blockieren"</t>
  </si>
  <si>
    <t xml:space="preserve">Max. 1.273 Einträge, CIDR nur /24 bis /32, kein IPv6. Für IPv6 die TABL nutzen. Blockierte Nachrichten sind NICHT im Message Trace sichtbar - klassische Troubleshooting-Falle.</t>
  </si>
  <si>
    <t xml:space="preserve">CF-03</t>
  </si>
  <si>
    <t xml:space="preserve">Safe List (EnableSafeList)</t>
  </si>
  <si>
    <t xml:space="preserve">$false</t>
  </si>
  <si>
    <t xml:space="preserve">Get-HostedConnectionFilterPolicy -Identity Default | Format-Table EnableSafeList</t>
  </si>
  <si>
    <t xml:space="preserve">Set-HostedConnectionFilterPolicy -Identity Default -EnableSafeList $false</t>
  </si>
  <si>
    <t xml:space="preserve">Defender-Portal &gt; Bedrohungsrichtlinien &gt; Antispam &gt; Zeile "Verbindungsfilterrichtlinie (Standard)" &gt; "Verbindungsfilterrichtlinie bearbeiten" &gt; Haken "Sichere Liste aktivieren"</t>
  </si>
  <si>
    <t xml:space="preserve">Doku-Widerspruch: der Konfigurationsartikel beschreibt es als reguläres Feature, die Cmdlet-Referenz kennzeichnet den Parameter als 'reserved for internal Microsoft use'. Faktisch ein pauschaler Filter-Skip für eine Serverliste, die der Kunde nicht einsehen kann. Ausgeschaltet lassen.</t>
  </si>
  <si>
    <t xml:space="preserve">Anti-Spam outbound</t>
  </si>
  <si>
    <t xml:space="preserve">ASO-01</t>
  </si>
  <si>
    <t xml:space="preserve">Eigene Outbound-Policy vs. Default-Policy</t>
  </si>
  <si>
    <t xml:space="preserve">Grenzwerte und Aktion in der DEFAULT-Policy setzen; eigene Policies nur für begründete Ausnahmen (z.B. Versand-Postfach).</t>
  </si>
  <si>
    <t xml:space="preserve">eigene erstellen</t>
  </si>
  <si>
    <t xml:space="preserve">Default-Policy hat feste Priorität 'Lowest' und keine Rule</t>
  </si>
  <si>
    <t xml:space="preserve">Get-HostedOutboundSpamFilterPolicy | Format-List Name,RecipientLimitExternalPerHour,RecipientLimitInternalPerHour,RecipientLimitPerDay,ActionWhenThresholdReached,AutoForwardingMode,BccSuspiciousOutboundMail,NotifyOutboundSpam</t>
  </si>
  <si>
    <t xml:space="preserve">Set-HostedOutboundSpamFilterPolicy -Identity "Default" -RecipientLimitExternalPerHour 500</t>
  </si>
  <si>
    <t xml:space="preserve">Defender-Portal &gt; Bedrohungsrichtlinien &gt; Antispam &gt; Liste auf "Ausgehende Antispamrichtlinie (Standard)" und eigene Richtlinien pruefen; neu ueber "+ Richtlinie erstellen &gt; Ausgehend"</t>
  </si>
  <si>
    <t xml:space="preserve">ABWEICHUNG zur Empfehlung von 2023: BccSuspiciousOutboundMail wirkt NUR in der Default-Policy, nicht in Custom-Policies. Wer alles in eine eigene Policy legt, verliert diese Funktion.</t>
  </si>
  <si>
    <t xml:space="preserve">ASO-02</t>
  </si>
  <si>
    <t xml:space="preserve">Empfänger-Limits (extern/intern/Tag)</t>
  </si>
  <si>
    <t xml:space="preserve">Extern 500/h, intern 1000/h, 1000/Tag (= MS Standard). 200/Tag nur, wenn im Tenant nachweislich kein legitimer Serienversand existiert.</t>
  </si>
  <si>
    <t xml:space="preserve">max. 200 pro Tag</t>
  </si>
  <si>
    <t xml:space="preserve">0 / 0 / 0 (= Service-Defaults)</t>
  </si>
  <si>
    <t xml:space="preserve">500 / 1000 / 1000</t>
  </si>
  <si>
    <t xml:space="preserve">400 / 800 / 800</t>
  </si>
  <si>
    <t xml:space="preserve">Get-HostedOutboundSpamFilterPolicy | Format-Table Name,RecipientLimitExternalPerHour,RecipientLimitInternalPerHour,RecipientLimitPerDay</t>
  </si>
  <si>
    <t xml:space="preserve">Set-HostedOutboundSpamFilterPolicy -Identity "Default" -RecipientLimitExternalPerHour 500 -RecipientLimitInternalPerHour 1000 -RecipientLimitPerDay 1000</t>
  </si>
  <si>
    <t xml:space="preserve">Defender-Portal &gt; Bedrohungsrichtlinien &gt; Antispam &gt; &lt;ausgehende Richtlinie&gt; &gt; "Schutzeinstellungen" &gt; Nachrichtengrenzwerte (extern / intern / taeglich)</t>
  </si>
  <si>
    <t xml:space="preserve">ABWEICHUNG: 200/Tag ist deutlich strenger als MS Strict (800). Für Vertrieb, Personalabteilung oder Rechnungsversand ist das zu eng und erzeugt gesperrte Nutzer. Empfehlung: mit MS-Standard starten, tatsächliche Spitzen im Report messen, dann bewusst absenken. Wertebereich 0-10000, 0 = Service-Default.</t>
  </si>
  <si>
    <t xml:space="preserve">ASO-03</t>
  </si>
  <si>
    <t xml:space="preserve">Aktion bei Erreichen der Limits</t>
  </si>
  <si>
    <t xml:space="preserve">BlockUser (= MS Standard/Strict) + Alert Policy 'User restricted from sending email' mit gepflegten Empfängern</t>
  </si>
  <si>
    <t xml:space="preserve">Send Admin-Alert</t>
  </si>
  <si>
    <t xml:space="preserve">BlockUserForToday</t>
  </si>
  <si>
    <t xml:space="preserve">BlockUser</t>
  </si>
  <si>
    <t xml:space="preserve">Get-HostedOutboundSpamFilterPolicy | Format-Table Name,ActionWhenThresholdReached</t>
  </si>
  <si>
    <t xml:space="preserve">Set-HostedOutboundSpamFilterPolicy -Identity "Default" -ActionWhenThresholdReached BlockUser</t>
  </si>
  <si>
    <t xml:space="preserve">Defender-Portal &gt; Bedrohungsrichtlinien &gt; Antispam &gt; &lt;ausgehende Richtlinie&gt; &gt; "Schutzeinstellungen" &gt; "Einschraenkung fuer Benutzer, die das Nachrichtenlimit erreichen"</t>
  </si>
  <si>
    <t xml:space="preserve">Gültige Werte NUR: Alert, BlockUser, BlockUserForToday. 'BlockUserForever' oder 'AlertOnly' existieren nicht. BlockUser sperrt bis zur manuellen Admin-Freigabe unter security.microsoft.com/restrictedusers - das ist der Punkt, an dem ein kompromittiertes Konto gestoppt wird.</t>
  </si>
  <si>
    <t xml:space="preserve">ASO-04</t>
  </si>
  <si>
    <t xml:space="preserve">Automatische externe Weiterleitungen</t>
  </si>
  <si>
    <t xml:space="preserve">Automatic (= systemgesteuert = aus)</t>
  </si>
  <si>
    <t xml:space="preserve">— (im Ursprungsdokument nicht enthalten)</t>
  </si>
  <si>
    <t xml:space="preserve">Automatic</t>
  </si>
  <si>
    <t xml:space="preserve">Get-HostedOutboundSpamFilterPolicy | Format-Table Name,AutoForwardingMode</t>
  </si>
  <si>
    <t xml:space="preserve">Set-HostedOutboundSpamFilterPolicy -Identity "Default" -AutoForwardingMode Automatic</t>
  </si>
  <si>
    <t xml:space="preserve">Defender-Portal &gt; Bedrohungsrichtlinien &gt; Antispam &gt; &lt;ausgehende Richtlinie&gt; &gt; "Schutzeinstellungen" &gt; Weiterleitungsregeln &gt; "Automatische Weiterleitungsregeln"</t>
  </si>
  <si>
    <t xml:space="preserve">WICHTIGE LÜCKE im Ursprungsdokument. 'Automatic - System-controlled' ist laut MS gleichbedeutend mit 'Off'. Automatische externe Weiterleitung ist der Standard-Exfiltrationsweg nach einer Kontokompromittierung. Betrifft Posteingangsregeln UND Mailbox-Forwarding. Ausnahmen nur über eine eng gescopte Custom-Policy mit 'On'.</t>
  </si>
  <si>
    <t xml:space="preserve">ASO-05</t>
  </si>
  <si>
    <t xml:space="preserve">Benachrichtigung/BCC bei verdächtigem Ausgangsverkehr</t>
  </si>
  <si>
    <t xml:space="preserve">Bewusste Entscheidung: MS-Preset-konform ($false, Alert Policy nutzen) ODER Secure-Score-konform ($true).</t>
  </si>
  <si>
    <t xml:space="preserve">Get-HostedOutboundSpamFilterPolicy | Format-List Name,BccSuspiciousOutboundMail,BccSuspiciousOutboundAdditionalRecipients,NotifyOutboundSpam,NotifyOutboundSpamRecipients</t>
  </si>
  <si>
    <t xml:space="preserve">Set-HostedOutboundSpamFilterPolicy -Identity "Default" -NotifyOutboundSpam $false</t>
  </si>
  <si>
    <t xml:space="preserve">Defender-Portal &gt; Bedrohungsrichtlinien &gt; Antispam &gt; "Ausgehende Antispamrichtlinie (Standard)" &gt; "Schutzeinstellungen" &gt; Benachrichtigungen (BCC-Kopie); gesperrte Absender unter Defender-Portal &gt; Ueberpruefen &gt; Eingeschraenkte Benutzer</t>
  </si>
  <si>
    <t xml:space="preserve">ZIELKONFLIKT, den Microsoft selbst dokumentiert: NotifyOutboundSpam ist 'in the process of being deprecated', die Secure-Score-Empfehlung 'Ensure Exchange Online Spam Policies are set to notify administrators' verlangt es trotzdem. Wer den Presets folgt, verliert Secure-Score-Punkte. Entscheidung dokumentieren.</t>
  </si>
  <si>
    <t xml:space="preserve">ASO-06</t>
  </si>
  <si>
    <t xml:space="preserve">Tenant External Recipient Rate Limit (TERRL) bekannt und eingeplant</t>
  </si>
  <si>
    <t xml:space="preserve">Kunde kennt das Limit; Massenversand läuft nicht über EXO</t>
  </si>
  <si>
    <t xml:space="preserve">— (2023 noch nicht existent)</t>
  </si>
  <si>
    <t xml:space="preserve">skaliert mit der Lizenzanzahl; Trial-Tenants 5.000 externe Empfänger/Tag</t>
  </si>
  <si>
    <t xml:space="preserve"># kein Cmdlet - Symptom ist der NDR:
# 550 5.7.233 ... tenant external recipient rate limit</t>
  </si>
  <si>
    <t xml:space="preserve">— (nicht konfigurierbar)</t>
  </si>
  <si>
    <t xml:space="preserve">Nicht konfigurierbar (mandantenweites Limit). Auswertung: Exchange Admin Center &gt; Berichte &gt; Nachrichtenfluss &gt; "Tenant Outbound External Recipients"</t>
  </si>
  <si>
    <t xml:space="preserve">Neu seit 2025. Harte Service-Limits daneben: 10.000 Empfänger/Tag pro Postfach, 30 Nachrichten/Minute, 500 Empfänger je Nachricht. Verteilergruppen zählen mit jedem einzelnen Mitglied. Newsletter gehören auf einen dedizierten Versanddienst, nicht in EXO.</t>
  </si>
  <si>
    <t xml:space="preserve">Anti-Phishing / Spoof</t>
  </si>
  <si>
    <t xml:space="preserve">APH-01</t>
  </si>
  <si>
    <t xml:space="preserve">Spoof Intelligence aktiv</t>
  </si>
  <si>
    <t xml:space="preserve">Get-AntiPhishPolicy | Format-Table Name,Enabled,EnableSpoofIntelligence</t>
  </si>
  <si>
    <t xml:space="preserve">Set-AntiPhishPolicy -Identity "Office365 AntiPhish Default" -EnableSpoofIntelligence $true</t>
  </si>
  <si>
    <t xml:space="preserve">Defender-Portal &gt; Bedrohungsrichtlinien &gt; Antiphishing &gt; &lt;Richtlinie&gt; &gt; "Phishingschwellenwert &amp; Schutz" &gt; Abschnitt "Spoofing" &gt; "Spoofintelligenz aktivieren"</t>
  </si>
  <si>
    <t xml:space="preserve">WICHTIGE ÄNDERUNG: EnableSpoofIntelligence $false schaltet nur den IMPLIZITEN Spoof-Schutz (Composite Authentication) ab. Die EXPLIZITE DMARC-Durchsetzung über HonorDmarcPolicy bleibt davon unberührt. Ältere Guides, die das gleichsetzen, sind überholt.</t>
  </si>
  <si>
    <t xml:space="preserve">APH-02</t>
  </si>
  <si>
    <t xml:space="preserve">Aktion bei Spoof-Erkennung (blockierte Spoof-Absender)</t>
  </si>
  <si>
    <t xml:space="preserve">Quarantine + SpoofQuarantineTag (Strict-Niveau). Strengere Variante: 'AdminOnlyAccessPolicy' als bewusste Verschärfung möglich.</t>
  </si>
  <si>
    <t xml:space="preserve">Immer in Admin-Quarantäne, keine Benutzerbenachrichtigung</t>
  </si>
  <si>
    <t xml:space="preserve">MoveToJmf + DefaultFullAccessPolicy</t>
  </si>
  <si>
    <t xml:space="preserve">Get-AntiPhishPolicy | Format-Table Name,AuthenticationFailAction,SpoofQuarantineTag</t>
  </si>
  <si>
    <t xml:space="preserve">Set-AntiPhishPolicy -Identity "Office365 AntiPhish Default" -AuthenticationFailAction Quarantine -SpoofQuarantineTag DefaultFullAccessWithNotificationPolicy</t>
  </si>
  <si>
    <t xml:space="preserve">Defender-Portal &gt; Bedrohungsrichtlinien &gt; Antiphishing &gt; &lt;Richtlinie&gt; &gt; "Aktionen" &gt; "Wenn die Nachricht durch Spoofintelligenz als Spoofing erkannt wird"</t>
  </si>
  <si>
    <t xml:space="preserve">Gültige Werte nur MoveToJmf und Quarantine. Dies ist einer von nur zwei Punkten, in denen sich Standard- und Strict-Preset im Spoof-Block überhaupt unterscheiden. Die Empfehlung von 2023 liegt hier auf Strict-Niveau - technisch korrekt.</t>
  </si>
  <si>
    <t xml:space="preserve">APH-03</t>
  </si>
  <si>
    <t xml:space="preserve">DMARC-Policy des Absenders berücksichtigen</t>
  </si>
  <si>
    <t xml:space="preserve">HonorDmarcPolicy $true</t>
  </si>
  <si>
    <t xml:space="preserve">Get-AntiPhishPolicy | Format-List Name,HonorDmarcPolicy,DmarcQuarantineAction,DmarcRejectAction</t>
  </si>
  <si>
    <t xml:space="preserve">Set-AntiPhishPolicy -Identity "Office365 AntiPhish Default" -HonorDmarcPolicy $true</t>
  </si>
  <si>
    <t xml:space="preserve">Defender-Portal &gt; Bedrohungsrichtlinien &gt; Antiphishing &gt; &lt;Richtlinie&gt; &gt; "Phishingschwellenwert &amp; Schutz" &gt; "DMARC-Eintragsrichtlinie beruecksichtigen, wenn die Nachricht als Spoofing erkannt wird"</t>
  </si>
  <si>
    <t xml:space="preserve">NEU seit 2023/2024 - die wichtigste inhaltliche Ergänzung zum Ursprungsdokument. Damit wird die veröffentlichte DMARC-Policy fremder Absenderdomänen tatsächlich durchgesetzt, statt nur heuristisch bewertet.</t>
  </si>
  <si>
    <t xml:space="preserve">APH-04</t>
  </si>
  <si>
    <t xml:space="preserve">Aktion bei DMARC p=quarantine</t>
  </si>
  <si>
    <t xml:space="preserve">Get-AntiPhishPolicy | Format-Table Name,DmarcQuarantineAction</t>
  </si>
  <si>
    <t xml:space="preserve">Set-AntiPhishPolicy -Identity "Office365 AntiPhish Default" -DmarcQuarantineAction Quarantine</t>
  </si>
  <si>
    <t xml:space="preserve">Defender-Portal &gt; Bedrohungsrichtlinien &gt; Antiphishing &gt; &lt;Richtlinie&gt; &gt; "Aktionen" &gt; "... und die DMARC-Richtlinie p=quarantine lautet"</t>
  </si>
  <si>
    <t xml:space="preserve">Gültige Werte nur MoveToJmf und Quarantine - kein Reject. Bei Aktion Quarantine greift die unter SpoofQuarantineTag hinterlegte Quarantäne-Policy.</t>
  </si>
  <si>
    <t xml:space="preserve">APH-05</t>
  </si>
  <si>
    <t xml:space="preserve">Aktion bei DMARC p=reject</t>
  </si>
  <si>
    <t xml:space="preserve">Reject (Default). In der Einführungsphase optional Quarantine.</t>
  </si>
  <si>
    <t xml:space="preserve">Reject</t>
  </si>
  <si>
    <t xml:space="preserve">Get-AntiPhishPolicy | Format-Table Name,DmarcRejectAction</t>
  </si>
  <si>
    <t xml:space="preserve">Set-AntiPhishPolicy -Identity "Office365 AntiPhish Default" -DmarcRejectAction Reject</t>
  </si>
  <si>
    <t xml:space="preserve">Defender-Portal &gt; Bedrohungsrichtlinien &gt; Antiphishing &gt; &lt;Richtlinie&gt; &gt; "Aktionen" &gt; "... und die DMARC-Richtlinie p=reject lautet"</t>
  </si>
  <si>
    <t xml:space="preserve">Gültige Werte nur Quarantine und Reject - kein MoveToJmf. Bei Reject wird die Nachricht während der SMTP-Transaktion abgewiesen und ist damit nicht mehr wiederherstellbar. Für die ersten Wochen nach Einführung ist Quarantine die sicherere Wahl, weil False Positives sichtbar bleiben.</t>
  </si>
  <si>
    <t xml:space="preserve">APH-06</t>
  </si>
  <si>
    <t xml:space="preserve">Unauthentifizierter Absender: Fragezeichen im Absenderbild</t>
  </si>
  <si>
    <t xml:space="preserve">Get-AntiPhishPolicy | Format-Table Name,EnableUnauthenticatedSender,EnableViaTag</t>
  </si>
  <si>
    <t xml:space="preserve">Set-AntiPhishPolicy -Identity "Office365 AntiPhish Default" -EnableUnauthenticatedSender $true -EnableViaTag $true</t>
  </si>
  <si>
    <t xml:space="preserve">Defender-Portal &gt; Bedrohungsrichtlinien &gt; Antiphishing &gt; &lt;Richtlinie&gt; &gt; "Aktionen" &gt; Sicherheitstipps &amp; Indikatoren &gt; "(?) fuer nicht authentifizierte Absender anzeigen" und "Tag via anzeigen"</t>
  </si>
  <si>
    <t xml:space="preserve">Beide Indikatoren sind nur wirksam, solange Spoof Intelligence eingeschaltet ist. Das 'via'-Tag zeigt an, wenn die From-Domäne von der DKIM- bzw. MAIL-FROM-Domäne abweicht - z.B. bei Newslettern über Dienstleister.</t>
  </si>
  <si>
    <t xml:space="preserve">APH-07</t>
  </si>
  <si>
    <t xml:space="preserve">First Contact Safety Tip</t>
  </si>
  <si>
    <t xml:space="preserve">im Kommentar als 'nur der First Contact Safety Tip' erwähnt</t>
  </si>
  <si>
    <t xml:space="preserve">Get-AntiPhishPolicy | Format-Table Name,EnableFirstContactSafetyTips</t>
  </si>
  <si>
    <t xml:space="preserve">Set-AntiPhishPolicy -Identity "Office365 AntiPhish Default" -EnableFirstContactSafetyTips $true</t>
  </si>
  <si>
    <t xml:space="preserve">Defender-Portal &gt; Bedrohungsrichtlinien &gt; Antiphishing &gt; &lt;Richtlinie&gt; &gt; "Aktionen" &gt; Sicherheitstipps &amp; Indikatoren &gt; "Sicherheitstipp fuer ersten Kontakt anzeigen"</t>
  </si>
  <si>
    <t xml:space="preserve">Häufig übersehene Lücke: der Default der Default-Policy ist $false, beide Presets setzen $true. Microsoft empfiehlt es ausdrücklich. Der Parametername ist EnableFirstContactSafetyTips (Plural) - die gerenderte Learn-Seite zeigt teilweise die Singularform, die es nicht gibt.</t>
  </si>
  <si>
    <t xml:space="preserve">APH-08</t>
  </si>
  <si>
    <t xml:space="preserve">Phishing-Schwellwert</t>
  </si>
  <si>
    <t xml:space="preserve">3 (More aggressive). Stufe 2 nur als Zwischenschritt in einer gestuften Einführung.</t>
  </si>
  <si>
    <t xml:space="preserve">Stufe 2 (Schieberegler 1-4)</t>
  </si>
  <si>
    <t xml:space="preserve">1</t>
  </si>
  <si>
    <t xml:space="preserve">3</t>
  </si>
  <si>
    <t xml:space="preserve">4</t>
  </si>
  <si>
    <t xml:space="preserve">MDO P1+</t>
  </si>
  <si>
    <t xml:space="preserve">Get-AntiPhishPolicy | Format-Table Name,PhishThresholdLevel</t>
  </si>
  <si>
    <t xml:space="preserve">Set-AntiPhishPolicy -Identity "&lt;Policy&gt;" -PhishThresholdLevel 3</t>
  </si>
  <si>
    <t xml:space="preserve">Defender-Portal &gt; Bedrohungsrichtlinien &gt; Antiphishing &gt; &lt;Richtlinie&gt; &gt; "Phishingschwellenwert &amp; Schutz" &gt; "Schwellenwert fuer Phishing-E-Mails" (1-4, nur mit Defender-Lizenz sichtbar)</t>
  </si>
  <si>
    <t xml:space="preserve">ABWEICHUNG mit klarer Empfehlung: Die Empfehlung von 2023 'Stufe 2' liegt UNTER dem, was Microsoft heute im Standard-Preset vorgibt (3). Sie stammt aus einer Zeit, in der die Erkennungsmodelle mehr False Positives produzierten. Achtung: In der Default-Policy ist der Wert gar nicht vorkonfiguriert - er wirkt nur in Custom-Policies oder Presets.</t>
  </si>
  <si>
    <t xml:space="preserve">Impersonation (MDO)</t>
  </si>
  <si>
    <t xml:space="preserve">IMP-01</t>
  </si>
  <si>
    <t xml:space="preserve">Geschützte Domänen: eigene Domänen</t>
  </si>
  <si>
    <t xml:space="preserve">EnableOrganizationDomainsProtection $true</t>
  </si>
  <si>
    <t xml:space="preserve">'Include domains I own' aktivieren</t>
  </si>
  <si>
    <t xml:space="preserve">Get-AntiPhishPolicy | Format-Table Name,EnableOrganizationDomainsProtection,EnableTargetedDomainsProtection,TargetedDomainsToProtect</t>
  </si>
  <si>
    <t xml:space="preserve">Set-AntiPhishPolicy -Identity "&lt;Policy&gt;" -EnableOrganizationDomainsProtection $true</t>
  </si>
  <si>
    <t xml:space="preserve">Defender-Portal &gt; Bedrohungsrichtlinien &gt; Antiphishing &gt; &lt;Richtlinie&gt; &gt; "Phishingschwellenwert &amp; Schutz" &gt; Identitaetswechsel &gt; "Zu schuetzende Domaenen aktivieren" &gt; "Domaenen einschliessen, die ich besitze"</t>
  </si>
  <si>
    <t xml:space="preserve">Deckt sich mit dem Ursprungsdokument. Eigene Domänen zählen nicht gegen das Limit von 50 Custom-Domains.</t>
  </si>
  <si>
    <t xml:space="preserve">IMP-02</t>
  </si>
  <si>
    <t xml:space="preserve">Geschützte Domänen: fremde Domänen (Partner, Banken, Steuerberater)</t>
  </si>
  <si>
    <t xml:space="preserve">$true mit gepflegter Liste der wichtigsten Geschäftspartner</t>
  </si>
  <si>
    <t xml:space="preserve">'Include custom domains' im Screenshot aktiviert</t>
  </si>
  <si>
    <t xml:space="preserve">$true + Liste</t>
  </si>
  <si>
    <t xml:space="preserve">Get-AntiPhishPolicy | Format-List Name,TargetedDomainsToProtect,TargetedDomainProtectionAction,TargetedDomainQuarantineTag</t>
  </si>
  <si>
    <t xml:space="preserve">Set-AntiPhishPolicy -Identity "&lt;Policy&gt;" -EnableTargetedDomainsProtection $true -TargetedDomainsToProtect @{Add="hausbank.de","steuerberater.de"} -TargetedDomainProtectionAction Quarantine</t>
  </si>
  <si>
    <t xml:space="preserve">Defender-Portal &gt; Bedrohungsrichtlinien &gt; Antiphishing &gt; &lt;Richtlinie&gt; &gt; "Phishingschwellenwert &amp; Schutz" &gt; Identitaetswechsel &gt; "Benutzerdefinierte Domaenen einschliessen" (max. 50)</t>
  </si>
  <si>
    <t xml:space="preserve">Max. 50 Custom-Domänen pro Policy. MS wörtlich: 'domains that you don't own, but you frequently interact with'. Die Erkennung ist bewusst unscharf - auch entfernt ähnliche Domänen schlagen an.</t>
  </si>
  <si>
    <t xml:space="preserve">IMP-03</t>
  </si>
  <si>
    <t xml:space="preserve">Geschützte Benutzer (Geschäftsführung, Buchhaltung, Einkauf)</t>
  </si>
  <si>
    <t xml:space="preserve">$true mit Liste der Schlüsselrollen</t>
  </si>
  <si>
    <t xml:space="preserve">— (im Screenshot 0 Absender konfiguriert)</t>
  </si>
  <si>
    <t xml:space="preserve">$false / leer</t>
  </si>
  <si>
    <t xml:space="preserve">Get-AntiPhishPolicy | Format-List Name,EnableTargetedUserProtection,TargetedUsersToProtect,TargetedUserProtectionAction</t>
  </si>
  <si>
    <t xml:space="preserve">Set-AntiPhishPolicy -Identity "&lt;Policy&gt;" -EnableTargetedUserProtection $true -TargetedUsersToProtect @{Add="Max Mustermann;max.mustermann@kunde.de"} -TargetedUserProtectionAction Quarantine</t>
  </si>
  <si>
    <t xml:space="preserve">Defender-Portal &gt; Bedrohungsrichtlinien &gt; Antiphishing &gt; &lt;Richtlinie&gt; &gt; "Phishingschwellenwert &amp; Schutz" &gt; Identitaetswechsel &gt; "Benutzern das Schuetzen ermoeglichen" &gt; "Geschuetzte Benutzer verwalten" (max. 350)</t>
  </si>
  <si>
    <t xml:space="preserve">LÜCKE im Ist-Zustand des Ursprungsdokuments: der Screenshot zeigt 'Off - 0 sender(s) specified'. Format zwingend 'Anzeigename;E-Mail-Adresse'. Max. 350 Nutzer pro Policy. Das ist die Verteidigung gegen CEO-Fraud.</t>
  </si>
  <si>
    <t xml:space="preserve">IMP-04</t>
  </si>
  <si>
    <t xml:space="preserve">Impersonation-Aktionen tatsächlich gesetzt (nicht 'NoAction')</t>
  </si>
  <si>
    <t xml:space="preserve">Quarantine für User- und Domain-Impersonation; Mailbox Intelligence MoveToJmf (Standard) bzw. Quarantine (Strict)</t>
  </si>
  <si>
    <t xml:space="preserve">Screenshot zeigt 'Don't apply any action' für alle drei Impersonation-Typen</t>
  </si>
  <si>
    <t xml:space="preserve">NoAction</t>
  </si>
  <si>
    <t xml:space="preserve">Quarantine / Quarantine / MoveToJmf</t>
  </si>
  <si>
    <t xml:space="preserve">Quarantine / Quarantine / Quarantine</t>
  </si>
  <si>
    <t xml:space="preserve">Get-AntiPhishPolicy | Format-List Name,TargetedUserProtectionAction,TargetedDomainProtectionAction,MailboxIntelligenceProtectionAction</t>
  </si>
  <si>
    <t xml:space="preserve">Set-AntiPhishPolicy -Identity "&lt;Policy&gt;" -TargetedUserProtectionAction Quarantine -TargetedDomainProtectionAction Quarantine -MailboxIntelligenceProtectionAction MoveToJmf</t>
  </si>
  <si>
    <t xml:space="preserve">Defender-Portal &gt; Bedrohungsrichtlinien &gt; Antiphishing &gt; &lt;Richtlinie&gt; &gt; "Aktionen" &gt; die drei Zeilen zu Benutzer-, Domaenenidentitaetswechsel und Postfachintelligenz (nicht "Keine Aktion anwenden")</t>
  </si>
  <si>
    <t xml:space="preserve">KRITISCH: Impersonation-Schutz einzuschalten und die Aktion auf NoAction zu lassen, erzeugt nur Telemetrie ohne Wirkung. Genau dieser Zustand ist im Screenshot des Ursprungsdokuments dokumentiert. Werte: NoAction, BccMessage, Delete, MoveToJmf, Quarantine, Redirect.</t>
  </si>
  <si>
    <t xml:space="preserve">IMP-05</t>
  </si>
  <si>
    <t xml:space="preserve">Mailbox Intelligence</t>
  </si>
  <si>
    <t xml:space="preserve">EnableMailboxIntelligence $true UND EnableMailboxIntelligenceProtection $true</t>
  </si>
  <si>
    <t xml:space="preserve">ein; ist aber ein MDO-Feature</t>
  </si>
  <si>
    <t xml:space="preserve">$true / $false</t>
  </si>
  <si>
    <t xml:space="preserve">$true / $true</t>
  </si>
  <si>
    <t xml:space="preserve">Get-AntiPhishPolicy | Format-Table Name,EnableMailboxIntelligence,EnableMailboxIntelligenceProtection</t>
  </si>
  <si>
    <t xml:space="preserve">Set-AntiPhishPolicy -Identity "&lt;Policy&gt;" -EnableMailboxIntelligence $true -EnableMailboxIntelligenceProtection $true</t>
  </si>
  <si>
    <t xml:space="preserve">Defender-Portal &gt; Bedrohungsrichtlinien &gt; Antiphishing &gt; &lt;Richtlinie&gt; &gt; "Phishingschwellenwert &amp; Schutz" &gt; Identitaetswechsel &gt; "Postfachintelligenz aktivieren" und "Intelligenz fuer Identitaetswechselschutz aktivieren"</t>
  </si>
  <si>
    <t xml:space="preserve">Zwei getrennte Schalter - der zweite ist ab Werk aus. Ohne den zweiten liefert Mailbox Intelligence nur False-Positive-Reduktion, aber keine eigene Erkennung. Wechselwirkung: bei bestehender Kommunikationshistorie unterdrückt Mailbox Intelligence die User-/Domain-Impersonation-Treffer bewusst.</t>
  </si>
  <si>
    <t xml:space="preserve">IMP-06</t>
  </si>
  <si>
    <t xml:space="preserve">Impersonation Safety Tips</t>
  </si>
  <si>
    <t xml:space="preserve">alle drei $true</t>
  </si>
  <si>
    <t xml:space="preserve">alle $false</t>
  </si>
  <si>
    <t xml:space="preserve">alle $true</t>
  </si>
  <si>
    <t xml:space="preserve">Get-AntiPhishPolicy | Format-List Name,EnableSimilarUsersSafetyTips,EnableSimilarDomainsSafetyTips,EnableUnusualCharactersSafetyTips</t>
  </si>
  <si>
    <t xml:space="preserve">Set-AntiPhishPolicy -Identity "&lt;Policy&gt;" -EnableSimilarUsersSafetyTips $true -EnableSimilarDomainsSafetyTips $true -EnableUnusualCharactersSafetyTips $true</t>
  </si>
  <si>
    <t xml:space="preserve">Defender-Portal &gt; Bedrohungsrichtlinien &gt; Antiphishing &gt; &lt;Richtlinie&gt; &gt; "Aktionen" &gt; Sicherheitstipps &amp; Indikatoren &gt; die drei Identitaetswechsel-Tipps</t>
  </si>
  <si>
    <t xml:space="preserve">Achtung: der gerenderte Learn-Artikel suggeriert teilweise $true als Default - die Rohquelle sagt eindeutig $false. Diese Tipps sind die 'adaptive Impersonation'-Variante der Banner-Diskussion aus dem Ursprungsdokument (Variante II).</t>
  </si>
  <si>
    <t xml:space="preserve">IMP-07</t>
  </si>
  <si>
    <t xml:space="preserve">Trusted senders / trusted domains (Impersonation-Ausnahmen)</t>
  </si>
  <si>
    <t xml:space="preserve">Leer bzw. minimal und begründet</t>
  </si>
  <si>
    <t xml:space="preserve">muss nicht gesetzt werden, wenn für Domain aktiv</t>
  </si>
  <si>
    <t xml:space="preserve">Get-AntiPhishPolicy | Format-List Name,ExcludedSenders,ExcludedDomains</t>
  </si>
  <si>
    <t xml:space="preserve">Set-AntiPhishPolicy -Identity "&lt;Policy&gt;" -ExcludedDomains @{Remove="&lt;domain&gt;"}</t>
  </si>
  <si>
    <t xml:space="preserve">Defender-Portal &gt; Bedrohungsrichtlinien &gt; Antiphishing &gt; &lt;Richtlinie&gt; &gt; "Phishingschwellenwert &amp; Schutz" &gt; Identitaetswechsel &gt; "Vertrauenswuerdige Absender und Domaenen hinzufuegen" (max. 1024)</t>
  </si>
  <si>
    <t xml:space="preserve">Wirken NUR gegen Impersonation, nicht gegen Spoof/Spam/Malware. Subdomains sind NICHT eingeschlossen - jede Subdomain braucht einen eigenen Eintrag. Limit 1.024 Einträge. Admin-Submissions vom Typ 'False Positive' bei Impersonation landen automatisch hier.</t>
  </si>
  <si>
    <t xml:space="preserve">IMP-08</t>
  </si>
  <si>
    <t xml:space="preserve">Priority Account Protection</t>
  </si>
  <si>
    <t xml:space="preserve">$true; Priority-Accounts im M365 Admin Center getaggt</t>
  </si>
  <si>
    <t xml:space="preserve">$true (P2-Tenants)</t>
  </si>
  <si>
    <t xml:space="preserve">MDO P2 / E5</t>
  </si>
  <si>
    <t xml:space="preserve">Get-EmailTenantSettings | Format-List Identity,EnablePriorityAccountProtection</t>
  </si>
  <si>
    <t xml:space="preserve">Set-EmailTenantSettings -EnablePriorityAccountProtection $true</t>
  </si>
  <si>
    <t xml:space="preserve">Defender-Portal &gt; Einstellungen &gt; E-Mail &amp; Zusammenarbeit &gt; Schutz von Prioritaetskonten (Priority account protection); die Konten selbst werden im Microsoft 365 Admin Center markiert</t>
  </si>
  <si>
    <t xml:space="preserve">Getrennter Mechanismus, nicht Teil der Anti-Phish-Policy. VIPs müssen doppelt erfasst werden: Priority-Account-Tag für die Heuristik UND TargetedUsersToProtect für die Impersonation-Aktion. Eines ersetzt das andere nicht. MS: 'We don't recommend turning off priority account protection.'</t>
  </si>
  <si>
    <t xml:space="preserve">Tenant Allow/Block List</t>
  </si>
  <si>
    <t xml:space="preserve">TABL-01</t>
  </si>
  <si>
    <t xml:space="preserve">TABL als primärer Allow-Mechanismus etabliert</t>
  </si>
  <si>
    <t xml:space="preserve">Etabliert als EINZIGER regulärer Allow-Weg; Safe-Sender-Listen und Transportregel-Bypässe abgebaut</t>
  </si>
  <si>
    <t xml:space="preserve">nur einsetzen, wenn benötigt</t>
  </si>
  <si>
    <t xml:space="preserve">EOP (Limits abhängig von MDO-Plan)</t>
  </si>
  <si>
    <t xml:space="preserve">Get-TenantAllowBlockListItems -ListType Sender -Allow
Get-TenantAllowBlockListItems -ListType Sender -Block</t>
  </si>
  <si>
    <t xml:space="preserve">New-TenantAllowBlockListItems -ListType Sender -Allow -Entries "absender@partner.de" -ExpirationDate (Get-Date).AddDays(30)</t>
  </si>
  <si>
    <t xml:space="preserve">Defender-Portal &gt; Bedrohungsrichtlinien &gt; Mandanten-Zulassungs-/Sperrlisten. Zulassungen entstehen bevorzugt ueber Uebermittlungen (Submissions), nicht von Hand</t>
  </si>
  <si>
    <t xml:space="preserve">Microsoft wörtlich: 'Our number one recommended option for allowing mail from senders or domains is the Tenant Allow/Block List.' Rangfolge der Allow-Methoden von best zu schlecht: TABL &gt; Transportregel &gt; Outlook Safe Senders &gt; IP Allow List &gt; Anti-Spam-Allowlisten. Der Grund: TABL ist ein verdikt-spezifischer Bypass mit Ablaufdatum, kein pauschaler Filter-Skip.</t>
  </si>
  <si>
    <t xml:space="preserve">TABL-02</t>
  </si>
  <si>
    <t xml:space="preserve">Absender-/Domain-Blocks gepflegt und mit Ablaufdatum</t>
  </si>
  <si>
    <t xml:space="preserve">Bestand geprüft, Altlasten entfernt, Ablaufdaten gesetzt</t>
  </si>
  <si>
    <t xml:space="preserve">Manuelle Pflege einer Personen/Domain-basierten Blacklist, nur bei Bedarf</t>
  </si>
  <si>
    <t xml:space="preserve">Block-Einträge laufen nach 30 Tagen ab, bis 90 Tage oder 'nie' setzbar</t>
  </si>
  <si>
    <t xml:space="preserve">Get-TenantAllowBlockListItems -ListType Sender -Block | Format-Table Value,ExpirationDate,Notes</t>
  </si>
  <si>
    <t xml:space="preserve">New-TenantAllowBlockListItems -ListType Sender -Block -Entries "boese-domain.tld" -NoExpiration -Notes "Ticket #1234"</t>
  </si>
  <si>
    <t xml:space="preserve">Defender-Portal &gt; Bedrohungsrichtlinien &gt; Mandanten-Zulassungs-/Sperrlisten &gt; Reiter "Domaenen und E-Mail-Adressen" &gt; Spalten "Aktion" und "Laeuft ab am"</t>
  </si>
  <si>
    <t xml:space="preserve">Ein Block erzeugt das Verdict 'High Confidence Phishing'. Er sperrt AUSSERDEM den ausgehenden Versand an diese Adresse (NDR 550 5.7.703). Für reine Spam-Behandlung stattdessen BlockedSenderDomains in der Anti-Spam-Policy. Hybrid-Falle: Nachrichten mit dem Header X-MS-Exchange-Organization-AuthAs: Internal werden von Block-Einträgen nicht erfasst.</t>
  </si>
  <si>
    <t xml:space="preserve">TABL-03</t>
  </si>
  <si>
    <t xml:space="preserve">Spoofed senders (freigegebene Spoof-Absender) geprüft</t>
  </si>
  <si>
    <t xml:space="preserve">Bestand geprüft; jeder Allow-Eintrag hat einen dokumentierten Grund und ein Ticket. Vorrang hat die Korrektur von SPF/DKIM beim Absender.</t>
  </si>
  <si>
    <t xml:space="preserve">nur freigeben, wenn nicht anders lösbar (siehe korrekte SPFs)</t>
  </si>
  <si>
    <t xml:space="preserve">Spoof-Allow-Einträge laufen NIE ab</t>
  </si>
  <si>
    <t xml:space="preserve">Get-TenantAllowBlockListSpoofItems | Format-Table SpoofedUser,SendingInfrastructure,SpoofType,Action</t>
  </si>
  <si>
    <t xml:space="preserve">New-TenantAllowBlockListSpoofItems -Identity Default -Action Allow -SpoofedUser "dienst@partner.de" -SendingInfrastructure "mailer.partner.de" -SpoofType External</t>
  </si>
  <si>
    <t xml:space="preserve">Defender-Portal &gt; Bedrohungsrichtlinien &gt; Mandanten-Zulassungs-/Sperrlisten &gt; Reiter "Gefaelschte Absender"; ergaenzend die Spoofintelligenz-Erkenntnisse</t>
  </si>
  <si>
    <t xml:space="preserve">Die Empfehlung im Ursprungsdokument ist unverändert richtig und heute noch wichtiger: Spoof-Allow-Einträge laufen nie ab und sind damit dauerhafte Löcher. Ein Eintrag ist immer ein Paar aus 'Spoofed user' und 'Sending infrastructure'. Set-TenantAllowBlockListSpoofItems kann nur Allow/Block umschalten.</t>
  </si>
  <si>
    <t xml:space="preserve">TABL-04</t>
  </si>
  <si>
    <t xml:space="preserve">URL-Einträge</t>
  </si>
  <si>
    <t xml:space="preserve">Nur bei Bedarf; Blocks bevorzugt hier statt in der (abgeschafften) Safe-Links-Global-Block-List</t>
  </si>
  <si>
    <t xml:space="preserve">Manuelles Blockieren von URLs, nur bei Bedarf</t>
  </si>
  <si>
    <t xml:space="preserve">Get-TenantAllowBlockListItems -ListType Url</t>
  </si>
  <si>
    <t xml:space="preserve">New-TenantAllowBlockListItems -ListType Url -Block -Entries "boese.tld/pfad" -NoExpiration</t>
  </si>
  <si>
    <t xml:space="preserve">Defender-Portal &gt; Bedrohungsrichtlinien &gt; Mandanten-Zulassungs-/Sperrlisten &gt; Reiter "URLs"</t>
  </si>
  <si>
    <t xml:space="preserve">Die Safe Links Global Block List (im Screenshot des Ursprungsdokuments noch als angekündigte Abschaltung sichtbar) ist inzwischen entfernt; URL-Blocks laufen ausschließlich über die TABL. Skripte mit Set-AtpPolicyForO365 -BlockUrls brechen.</t>
  </si>
  <si>
    <t xml:space="preserve">TABL-05</t>
  </si>
  <si>
    <t xml:space="preserve">Datei-Hashes</t>
  </si>
  <si>
    <t xml:space="preserve">Nur bei Bedarf (Incident Response)</t>
  </si>
  <si>
    <t xml:space="preserve">Manuelles Blockieren von File-Anhängen (Hash-basierend), nur bei Bedarf</t>
  </si>
  <si>
    <t xml:space="preserve">Get-TenantAllowBlockListItems -ListType FileHash</t>
  </si>
  <si>
    <t xml:space="preserve">New-TenantAllowBlockListItems -ListType FileHash -Block -Entries "&lt;SHA256&gt;" -NoExpiration</t>
  </si>
  <si>
    <t xml:space="preserve">Defender-Portal &gt; Bedrohungsrichtlinien &gt; Mandanten-Zulassungs-/Sperrlisten &gt; Reiter "Dateien" (nur SHA256, Zulassungen nur ueber Uebermittlungen)</t>
  </si>
  <si>
    <t xml:space="preserve">Nur SHA256, max. 64 Zeichen. Allow-Einträge für Dateien können NICHT direkt angelegt werden - nur über den Weg Submissions &gt; 'I've confirmed it's clean'.</t>
  </si>
  <si>
    <t xml:space="preserve">TABL-06</t>
  </si>
  <si>
    <t xml:space="preserve">IP-Einträge (IPv6)</t>
  </si>
  <si>
    <t xml:space="preserve">Nur bei Bedarf; IPv4 gehört in den Connection Filter</t>
  </si>
  <si>
    <t xml:space="preserve">— (2023 noch nicht verfügbar)</t>
  </si>
  <si>
    <t xml:space="preserve">IP-Einträge laufen nie ab</t>
  </si>
  <si>
    <t xml:space="preserve">Get-TenantAllowBlockListItems -ListType IP</t>
  </si>
  <si>
    <t xml:space="preserve">New-TenantAllowBlockListItems -ListType IP -Block -Entries "2001:db8::/32" -NoExpiration</t>
  </si>
  <si>
    <t xml:space="preserve">Defender-Portal &gt; Bedrohungsrichtlinien &gt; Mandanten-Zulassungs-/Sperrlisten &gt; Reiter "IP-Adressen" (ausschliesslich IPv6)</t>
  </si>
  <si>
    <t xml:space="preserve">NUR IPv6. Microsoft wörtlich: 'IPv4 addresses (both single addresses and ranges) aren't supported.' Für IPv4 weiterhin Set-HostedConnectionFilterPolicy -IPBlockList.</t>
  </si>
  <si>
    <t xml:space="preserve">Anti-Malware</t>
  </si>
  <si>
    <t xml:space="preserve">AMW-01</t>
  </si>
  <si>
    <t xml:space="preserve">Common Attachment Filter (Blockieren nach Dateityp)</t>
  </si>
  <si>
    <t xml:space="preserve">EnableFileFilter $true; Default-Liste (54 Typen) als Minimum, Erweiterung nach Messung</t>
  </si>
  <si>
    <t xml:space="preserve">Get-MalwareFilterPolicy | Format-List Name,EnableFileFilter,FileTypeAction,FileTypes</t>
  </si>
  <si>
    <t xml:space="preserve">Set-MalwareFilterPolicy -Identity "Default" -EnableFileFilter $true</t>
  </si>
  <si>
    <t xml:space="preserve">Defender-Portal &gt; Bedrohungsrichtlinien &gt; Antischadsoftware &gt; &lt;Richtlinie&gt; &gt; "Schutzeinstellungen" &gt; "Aktivieren Sie den allgemeinen Anlagenfilter" &gt; "Dateitypen auswaehlen"</t>
  </si>
  <si>
    <t xml:space="preserve">Microsoft dokumentiert KEINE eigene 'empfohlene erweiterte Liste' - jede Erweiterung über die 54 Default-Typen hinaus ist eine Consultant-Entscheidung und muss so gekennzeichnet werden. Archive (zip, 7z, rar) sind bewusst NICHT im Default; ihre Aufnahme bricht typischerweise Geschäftsprozesse. Gefiltert wird nach echtem Dateityp, nicht nur nach Endung.</t>
  </si>
  <si>
    <t xml:space="preserve">AMW-02</t>
  </si>
  <si>
    <t xml:space="preserve">ZAP für Malware</t>
  </si>
  <si>
    <t xml:space="preserve">Get-MalwareFilterPolicy | Format-Table Name,ZapEnabled</t>
  </si>
  <si>
    <t xml:space="preserve">Set-MalwareFilterPolicy -Identity "Default" -ZapEnabled $true</t>
  </si>
  <si>
    <t xml:space="preserve">Defender-Portal &gt; Bedrohungsrichtlinien &gt; Antischadsoftware &gt; &lt;Richtlinie&gt; &gt; "Schutzeinstellungen" &gt; "Automatische Null-Stunden-Bereinigung fuer Schadsoftware aktivieren"</t>
  </si>
  <si>
    <t xml:space="preserve">Hier heißt der Parameter weiterhin ZapEnabled - anders als in der Anti-Spam-Policy, wo er aufgeteilt wurde. MS: 'we recommend that you leave it on.'</t>
  </si>
  <si>
    <t xml:space="preserve">AMW-03</t>
  </si>
  <si>
    <t xml:space="preserve">Aktion des Dateityp-Filters</t>
  </si>
  <si>
    <t xml:space="preserve">Reject (MS-konform) oder Quarantine (wenn NDRs an Absender unerwünscht sind)</t>
  </si>
  <si>
    <t xml:space="preserve">Get-MalwareFilterPolicy | Format-Table Name,FileTypeAction,QuarantineTag</t>
  </si>
  <si>
    <t xml:space="preserve">Set-MalwareFilterPolicy -Identity "Default" -FileTypeAction Reject</t>
  </si>
  <si>
    <t xml:space="preserve">Defender-Portal &gt; Bedrohungsrichtlinien &gt; Antischadsoftware &gt; &lt;Richtlinie&gt; &gt; "Schutzeinstellungen" &gt; "Wenn diese Dateitypen gefunden werden" (NDR ablehnen vs. Quarantaene)</t>
  </si>
  <si>
    <t xml:space="preserve">Nur zwei Werte: Reject (NDR an den Absender) und Quarantine (still, kein NDR). Reject ist transparenter für legitime Absender, Quarantine besser für Forensik. Bewusst entscheiden.</t>
  </si>
  <si>
    <t xml:space="preserve">AMW-04</t>
  </si>
  <si>
    <t xml:space="preserve">Quarantäne-Policy für Malware</t>
  </si>
  <si>
    <t xml:space="preserve">AdminOnlyAccessPolicy</t>
  </si>
  <si>
    <t xml:space="preserve">admin access; Notification settings: Admin Quarantäne</t>
  </si>
  <si>
    <t xml:space="preserve">Get-MalwareFilterPolicy | Format-Table Name,QuarantineTag</t>
  </si>
  <si>
    <t xml:space="preserve">Set-MalwareFilterPolicy -Identity "Default" -QuarantineTag AdminOnlyAccessPolicy</t>
  </si>
  <si>
    <t xml:space="preserve">Defender-Portal &gt; Bedrohungsrichtlinien &gt; Antischadsoftware &gt; &lt;Richtlinie&gt; &gt; "Schutzeinstellungen" &gt; "Quarantaenerichtlinie" (Default AdminOnlyAccessPolicy)</t>
  </si>
  <si>
    <t xml:space="preserve">Empfehlung von 2023 deckt sich mit allen MS-Presets. Wichtig zu wissen: Selbst wenn man eine Quarantäne-Policy mit Release-Recht zuweist, wird Release für Malware NIE gewährt - es wird automatisch zu 'Request release' degradiert.</t>
  </si>
  <si>
    <t xml:space="preserve">AMW-05</t>
  </si>
  <si>
    <t xml:space="preserve">Admin-Benachrichtigungen bei Malware-Funden</t>
  </si>
  <si>
    <t xml:space="preserve">Optional. MS-Presets nutzen es NICHT - stattdessen Alert Policies (REP-02).</t>
  </si>
  <si>
    <t xml:space="preserve">Ein Administrator wird benachrichtigt</t>
  </si>
  <si>
    <t xml:space="preserve">nicht konfiguriert</t>
  </si>
  <si>
    <t xml:space="preserve">Get-MalwareFilterPolicy | Format-List Name,EnableInternalSenderAdminNotifications,InternalSenderAdminAddress,EnableExternalSenderAdminNotifications,ExternalSenderAdminAddress</t>
  </si>
  <si>
    <t xml:space="preserve">Set-MalwareFilterPolicy -Identity "Default" -EnableInternalSenderAdminNotifications $true -InternalSenderAdminAddress "security@kunde.de"</t>
  </si>
  <si>
    <t xml:space="preserve">Defender-Portal &gt; Bedrohungsrichtlinien &gt; Antischadsoftware &gt; &lt;Richtlinie&gt; &gt; "Schutzeinstellungen" &gt; Benachrichtigungen &gt; Administratorbenachrichtigungen</t>
  </si>
  <si>
    <t xml:space="preserve">Absender-Benachrichtigungen (Enable*SenderNotifications) gibt es NUR on-premises, nicht in Exchange Online. Empfänger-Benachrichtigungen wurden in die Quarantäne-Policy verlagert. Admin-Notifications werden nur für Anhänge verschickt, nicht für Body-basierte Malware-Verdicts.</t>
  </si>
  <si>
    <t xml:space="preserve">Safe Attachments (MDO)</t>
  </si>
  <si>
    <t xml:space="preserve">SA-01</t>
  </si>
  <si>
    <t xml:space="preserve">Safe-Attachments-Policy aktiv und Aktion = Block</t>
  </si>
  <si>
    <t xml:space="preserve">Enable $true, Action Block, QuarantineTag AdminOnlyAccessPolicy</t>
  </si>
  <si>
    <t xml:space="preserve">Screenshot zeigt Action = Block, Quarantäne-Policy AdminOnlyAccessPolicy</t>
  </si>
  <si>
    <t xml:space="preserve">Enable $false / Block</t>
  </si>
  <si>
    <t xml:space="preserve">$true / Block</t>
  </si>
  <si>
    <t xml:space="preserve">Get-SafeAttachmentPolicy | Format-Table Name,Enable,Action,QuarantineTag,Redirect,RedirectAddress</t>
  </si>
  <si>
    <t xml:space="preserve">Set-SafeAttachmentPolicy -Identity "&lt;Policy&gt;" -Enable $true -Action Block -QuarantineTag AdminOnlyAccessPolicy</t>
  </si>
  <si>
    <t xml:space="preserve">Defender-Portal &gt; Bedrohungsrichtlinien &gt; Sichere Anlagen &gt; &lt;Richtlinie&gt; &gt; "Einstellungen" &gt; "Safe Attachments-Antwort bei unbekannter Schadsoftware" = Blockieren</t>
  </si>
  <si>
    <t xml:space="preserve">ÄNDERUNG: 'Replace' ist entfernt. Gültige Werte 2026 nur noch Allow (= Monitor), Block (Default) und DynamicDelivery. Der Screenshot im Ursprungsdokument zeigt noch 'Replace (To be deprecated)' - inzwischen vollzogen. Bestandspolicies auf Altwerte prüfen.</t>
  </si>
  <si>
    <t xml:space="preserve">SA-02</t>
  </si>
  <si>
    <t xml:space="preserve">Redirect-Konfiguration konsistent</t>
  </si>
  <si>
    <t xml:space="preserve">Redirect $false (bei Action Block)</t>
  </si>
  <si>
    <t xml:space="preserve">Screenshot: 'Enable redirect' nicht gesetzt</t>
  </si>
  <si>
    <t xml:space="preserve">Get-SafeAttachmentPolicy | Format-Table Name,Action,Redirect,RedirectAddress</t>
  </si>
  <si>
    <t xml:space="preserve">Set-SafeAttachmentPolicy -Identity "&lt;Policy&gt;" -Redirect $false</t>
  </si>
  <si>
    <t xml:space="preserve">Defender-Portal &gt; Bedrohungsrichtlinien &gt; Sichere Anlagen &gt; &lt;Richtlinie&gt; &gt; "Einstellungen" &gt; "Umleiten von Nachrichten mit erkannten Anlagen" (wirkt laut Doku nur bei Aktion "Ueberwachen")</t>
  </si>
  <si>
    <t xml:space="preserve">Fallstrick: Redirect ist NUR wirksam, wenn Action = Allow (Monitor). Die Kombination -Redirect $true mit -Action Block wird ohne Fehlermeldung akzeptiert und tut nichts. Der Parameter ActionOnError ('Apply the detection response if scanning can't complete', im Screenshot noch sichtbar) existiert 2026 nicht mehr und hat keinen dokumentierten Nachfolger.</t>
  </si>
  <si>
    <t xml:space="preserve">SA-03</t>
  </si>
  <si>
    <t xml:space="preserve">Safe Attachments für SharePoint, OneDrive und Teams</t>
  </si>
  <si>
    <t xml:space="preserve">Screenshot: aktiviert</t>
  </si>
  <si>
    <t xml:space="preserve">$true (via Built-in protection)</t>
  </si>
  <si>
    <t xml:space="preserve">Get-AtpPolicyForO365 | Format-List Name,EnableATPForSPOTeamsODB,EnableSafeDocs,AllowSafeDocsOpen</t>
  </si>
  <si>
    <t xml:space="preserve">Set-AtpPolicyForO365 -Identity Default -EnableATPForSPOTeamsODB $true</t>
  </si>
  <si>
    <t xml:space="preserve">Defender-Portal &gt; Bedrohungsrichtlinien &gt; Sichere Anlagen &gt; Zahnrad "Globale Einstellungen" &gt; "Defender for Office 365 fuer SharePoint, OneDrive und Microsoft Teams aktivieren". Download-Sperre zusaetzlich nur per SharePoint-PowerShell</t>
  </si>
  <si>
    <t xml:space="preserve">Wichtiger Zusatzschritt, der oft fehlt: EnableATPForSPOTeamsODB $true blockiert erkannte Dateien NICHT automatisch für den Download. Dafür ist zusätzlich Set-SPOTenant -DisallowInfectedFileDownload $true in der SharePoint Online Management Shell nötig.</t>
  </si>
  <si>
    <t xml:space="preserve">SA-04</t>
  </si>
  <si>
    <t xml:space="preserve">Safe Documents</t>
  </si>
  <si>
    <t xml:space="preserve">$true, AllowSafeDocsOpen $false — sofern lizenziert</t>
  </si>
  <si>
    <t xml:space="preserve">Screenshot: aktiviert, 'Allow people to click through' aus</t>
  </si>
  <si>
    <t xml:space="preserve">$false / $false</t>
  </si>
  <si>
    <t xml:space="preserve">M365 E5 / A5 / E5 Security — NICHT in MDO P1 oder P2 standalone</t>
  </si>
  <si>
    <t xml:space="preserve">Get-AtpPolicyForO365 | Format-Table EnableSafeDocs,AllowSafeDocsOpen</t>
  </si>
  <si>
    <t xml:space="preserve">Set-AtpPolicyForO365 -Identity Default -EnableSafeDocs $true -AllowSafeDocsOpen $false</t>
  </si>
  <si>
    <t xml:space="preserve">Defender-Portal &gt; Bedrohungsrichtlinien &gt; Sichere Anlagen &gt; Zahnrad "Globale Einstellungen" &gt; "Safe Documents fuer Office-Clients aktivieren" plus Durchklicken verbieten</t>
  </si>
  <si>
    <t xml:space="preserve">LIZENZFALLE: Safe Documents ist an den Service Plan 'Office 365 SafeDocs' gebunden und in reinem MDO P1/P2 NICHT enthalten. Vor der Aktivierung die Lizenzierung prüfen, sonst ist der Schalter wirkungslos.</t>
  </si>
  <si>
    <t xml:space="preserve">SA-05</t>
  </si>
  <si>
    <t xml:space="preserve">Dynamic Delivery — bewusste Entscheidung</t>
  </si>
  <si>
    <t xml:space="preserve">Nicht verwenden; Block ist die belegbare MS-Empfehlung</t>
  </si>
  <si>
    <t xml:space="preserve">Block</t>
  </si>
  <si>
    <t xml:space="preserve">Get-SafeAttachmentPolicy | Format-Table Name,Action</t>
  </si>
  <si>
    <t xml:space="preserve">Set-SafeAttachmentPolicy -Identity "&lt;Policy&gt;" -Action Block</t>
  </si>
  <si>
    <t xml:space="preserve">Defender-Portal &gt; Bedrohungsrichtlinien &gt; Sichere Anlagen &gt; &lt;Richtlinie&gt; &gt; "Einstellungen" &gt; "Safe Attachments-Antwort" = "Dynamische Uebermittlung (Vorschau von Nachrichten)"</t>
  </si>
  <si>
    <t xml:space="preserve">Dynamic Delivery existiert weiter, hat aber dokumentierte Lücken: funktioniert nur für Exchange-Online-Postfächer, nicht bei Public Folders, nicht bei S/MIME-verschlüsselten Nachrichten und nicht bei Custom-Routing-Regeln. Alle drei Presets setzen Block.</t>
  </si>
  <si>
    <t xml:space="preserve">Safe Links (MDO)</t>
  </si>
  <si>
    <t xml:space="preserve">SL-01</t>
  </si>
  <si>
    <t xml:space="preserve">Safe Links für E-Mail, Teams und Office-Apps</t>
  </si>
  <si>
    <t xml:space="preserve">Screenshot: alle drei aktiviert</t>
  </si>
  <si>
    <t xml:space="preserve">Get-SafeLinksPolicy | Format-List Name,EnableSafeLinksForEmail,EnableSafeLinksForTeams,EnableSafeLinksForOffice,ScanUrls,DeliverMessageAfterScan,EnableForInternalSenders</t>
  </si>
  <si>
    <t xml:space="preserve">Set-SafeLinksPolicy -Identity "&lt;Policy&gt;" -EnableSafeLinksForEmail $true -EnableSafeLinksForTeams $true -EnableSafeLinksForOffice $true</t>
  </si>
  <si>
    <t xml:space="preserve">Defender-Portal &gt; Bedrohungsrichtlinien &gt; Sichere Links &gt; &lt;Richtlinie&gt; &gt; "URL- &amp; Klickschutzeinstellungen" &gt; Abschnitte "E-Mail", "Teams" und "Office 365-Apps" je auf Ein</t>
  </si>
  <si>
    <t xml:space="preserve">In Teams und Office-Apps werden URLs nie umgeschrieben - dort ist es reine Prüfung zum Klickzeitpunkt.</t>
  </si>
  <si>
    <t xml:space="preserve">SL-02</t>
  </si>
  <si>
    <t xml:space="preserve">Interne Absender einbeziehen</t>
  </si>
  <si>
    <t xml:space="preserve">Screenshot: 'Apply Safe Links to email messages sent within the organization' aktiviert</t>
  </si>
  <si>
    <t xml:space="preserve">$true (Custom) / $false (Built-in protection)</t>
  </si>
  <si>
    <t xml:space="preserve">Get-SafeLinksPolicy | Format-Table Name,EnableForInternalSenders</t>
  </si>
  <si>
    <t xml:space="preserve">Set-SafeLinksPolicy -Identity "&lt;Policy&gt;" -EnableForInternalSenders $true</t>
  </si>
  <si>
    <t xml:space="preserve">Defender-Portal &gt; Bedrohungsrichtlinien &gt; Sichere Links &gt; &lt;Richtlinie&gt; &gt; "URL- &amp; Klickschutzeinstellungen" &gt; E-Mail &gt; "Sichere Links auf E-Mail-Nachrichten anwenden, die innerhalb der Organisation gesendet werden"</t>
  </si>
  <si>
    <t xml:space="preserve">Wichtig gegen laterale Ausbreitung nach einer Kontokompromittierung. Das Built-in-protection-Preset setzt hier $false - ein weiterer Grund, warum Built-in kein Ersatz für Standard/Strict ist.</t>
  </si>
  <si>
    <t xml:space="preserve">SL-03</t>
  </si>
  <si>
    <t xml:space="preserve">Warten auf Scan-Abschluss vor Zustellung</t>
  </si>
  <si>
    <t xml:space="preserve">Get-SafeLinksPolicy | Format-Table Name,ScanUrls,DeliverMessageAfterScan</t>
  </si>
  <si>
    <t xml:space="preserve">Set-SafeLinksPolicy -Identity "&lt;Policy&gt;" -ScanUrls $true -DeliverMessageAfterScan $true</t>
  </si>
  <si>
    <t xml:space="preserve">Defender-Portal &gt; Bedrohungsrichtlinien &gt; Sichere Links &gt; &lt;Richtlinie&gt; &gt; "URL- &amp; Klickschutzeinstellungen" &gt; "URL-Ueberpruefung in Echtzeit ..." mit der Unteroption "Warten, bis die URL-Ueberpruefung abgeschlossen ist"</t>
  </si>
  <si>
    <t xml:space="preserve">Kostet Zustellzeit (typischerweise Sekunden). Wird das abgeschaltet, kann eine Nachricht zugestellt sein, bevor das Ergebnis vorliegt.</t>
  </si>
  <si>
    <t xml:space="preserve">SL-04</t>
  </si>
  <si>
    <t xml:space="preserve">Durchklicken zur Original-URL unterbinden</t>
  </si>
  <si>
    <t xml:space="preserve">AllowClickThrough $false</t>
  </si>
  <si>
    <t xml:space="preserve">Screenshot: 'Let users click through to the original URL' NICHT gesetzt</t>
  </si>
  <si>
    <t xml:space="preserve">$false (Custom) / $true (Built-in protection)</t>
  </si>
  <si>
    <t xml:space="preserve">Get-SafeLinksPolicy | Format-Table Name,TrackClicks,AllowClickThrough</t>
  </si>
  <si>
    <t xml:space="preserve">Set-SafeLinksPolicy -Identity "&lt;Policy&gt;" -TrackClicks $true -AllowClickThrough $false</t>
  </si>
  <si>
    <t xml:space="preserve">Defender-Portal &gt; Bedrohungsrichtlinien &gt; Sichere Links &gt; &lt;Richtlinie&gt; &gt; "URL- &amp; Klickschutzeinstellungen" &gt; Klickschutzeinstellungen &gt; "Benutzern das Durchklicken zur urspruenglichen URL erlauben" ausschalten</t>
  </si>
  <si>
    <t xml:space="preserve">Deckt sich mit dem Ursprungsdokument und mit Standard/Strict. Built-in protection erlaubt das Durchklicken - bei Tenants, die nur auf Built-in setzen, ist das eine offene Lücke.</t>
  </si>
  <si>
    <t xml:space="preserve">SL-05</t>
  </si>
  <si>
    <t xml:space="preserve">URL-Rewriting aktiv (nicht 'API only')</t>
  </si>
  <si>
    <t xml:space="preserve">DisableUrlRewrite $false</t>
  </si>
  <si>
    <t xml:space="preserve">Screenshot: 'Do not rewrite URLs, do checks via Safe Links API only' NICHT gesetzt</t>
  </si>
  <si>
    <t xml:space="preserve">Get-SafeLinksPolicy | Format-Table Name,DisableUrlRewrite</t>
  </si>
  <si>
    <t xml:space="preserve">Set-SafeLinksPolicy -Identity "&lt;Policy&gt;" -DisableUrlRewrite $false</t>
  </si>
  <si>
    <t xml:space="preserve">Defender-Portal &gt; Bedrohungsrichtlinien &gt; Sichere Links &gt; &lt;Richtlinie&gt; &gt; "URL- &amp; Klickschutzeinstellungen" &gt; E-Mail &gt; "URLs nicht umschreiben, Ueberpruefungen nur ueber die SafeLinks-API" muss AUS sein</t>
  </si>
  <si>
    <t xml:space="preserve">API-only reduziert Sichtbarkeit und Wirkung auf Clients ohne API-Unterstützung. Beide Presets setzen bewusst $false.</t>
  </si>
  <si>
    <t xml:space="preserve">SL-06</t>
  </si>
  <si>
    <t xml:space="preserve">'Do not rewrite the following URLs' — Bestand und korrektes Verständnis</t>
  </si>
  <si>
    <t xml:space="preserve">Liste leer bzw. minimal; Verdict-Ausnahmen ausschließlich über TABL-URL-Allow</t>
  </si>
  <si>
    <t xml:space="preserve">Hinweis im Dokument: Einträge werden nicht gescannt/umgeschrieben, schützen aber nicht vor der Einstufung als schädlich; dafür ist die TABL nötig.</t>
  </si>
  <si>
    <t xml:space="preserve">Get-SafeLinksPolicy | Format-List Name,DoNotRewriteUrls</t>
  </si>
  <si>
    <t xml:space="preserve">Set-SafeLinksPolicy -Identity "&lt;Policy&gt;" -DoNotRewriteUrls @{Remove="&lt;url&gt;"}</t>
  </si>
  <si>
    <t xml:space="preserve">Defender-Portal &gt; Bedrohungsrichtlinien &gt; Sichere Links &gt; &lt;Richtlinie&gt; &gt; "URL- &amp; Klickschutzeinstellungen" &gt; "Die folgenden URLs in E-Mails nicht umschreiben" &gt; "Nicht umzuschreibende URLs verwalten" (pro Richtlinie, nicht global)</t>
  </si>
  <si>
    <t xml:space="preserve">Die Aussage im Ursprungsdokument ist BESTÄTIGT und weiterhin gültig - MS wörtlich: Einträge 'aren't scanned or wrapped by Safe Links during mail flow, but might still be blocked at time of click'. Umgekehrt gilt: ein TABL-URL-Allow verhindert das Wrapping NICHT. Die beiden Mechanismen sind orthogonal. Weitere Fallstricke: max. 3 Wildcards je Eintrag; *.contoso.com deckt contoso.com NICHT ab; Teams und Office Web Apps ignorieren die Liste.</t>
  </si>
  <si>
    <t xml:space="preserve">SL-07</t>
  </si>
  <si>
    <t xml:space="preserve">Warnseiten-Branding und Benachrichtigungstext</t>
  </si>
  <si>
    <t xml:space="preserve">Organisationsbranding aktiv, sinnvoller deutscher Text ODER Default-Text</t>
  </si>
  <si>
    <t xml:space="preserve">Screenshot zeigt Custom notification text ('Du hier nix!') mit Translator</t>
  </si>
  <si>
    <t xml:space="preserve">EnableOrganizationBranding $false, kein Custom-Text</t>
  </si>
  <si>
    <t xml:space="preserve">wie Default</t>
  </si>
  <si>
    <t xml:space="preserve">Get-SafeLinksPolicy | Format-List Name,EnableOrganizationBranding,CustomNotificationText,UseTranslatedNotificationText</t>
  </si>
  <si>
    <t xml:space="preserve">Set-SafeLinksPolicy -Identity "&lt;Policy&gt;" -EnableOrganizationBranding $true -CustomNotificationText "Diese Adresse wurde von der IT-Sicherheit blockiert. Bei Fragen wenden Sie sich an den Service Desk." -UseTranslatedNotificationText $true</t>
  </si>
  <si>
    <t xml:space="preserve">Defender-Portal &gt; Bedrohungsrichtlinien &gt; Sichere Links &gt; &lt;Richtlinie&gt; &gt; "URL- &amp; Klickschutzeinstellungen" &gt; "Organisationsbranding anzeigen" (Logo aus dem M365-Organisationsdesign) sowie &gt; "Benachrichtigung" &gt; eigener Text (max. 200 Zeichen)</t>
  </si>
  <si>
    <t xml:space="preserve">PRÜFPUNKT aus dem Screenshot: der dort hinterlegte Text 'Du hier nix!' ist erkennbar ein Testeintrag. Bei jedem Kunden prüfen, ob ein produktiver Text hinterlegt ist. Organisationsbranding setzt ein konfiguriertes M365-Org-Theme voraus.</t>
  </si>
  <si>
    <t xml:space="preserve">Quarantäne-Policies</t>
  </si>
  <si>
    <t xml:space="preserve">QUA-01</t>
  </si>
  <si>
    <t xml:space="preserve">Zuordnung Quarantäne-Policy je Verdict vollständig und bewusst</t>
  </si>
  <si>
    <t xml:space="preserve">Malware/Safe Attachments/HC-Phish: AdminOnlyAccessPolicy. Übrige Verdicts: DefaultFullAccessWithNotificationPolicy.</t>
  </si>
  <si>
    <t xml:space="preserve">Hier sind vor allem die Global settings spannend; Kommentar: 'Stand auf AdminOnlyAccessWithNotifyPolicy - so gelassen!'</t>
  </si>
  <si>
    <t xml:space="preserve">siehe Guide, Kapitel Quarantäne</t>
  </si>
  <si>
    <t xml:space="preserve">siehe Guide</t>
  </si>
  <si>
    <t xml:space="preserve">Get-QuarantinePolicy | Format-Table Name,ESNEnabled,EndUserQuarantinePermissionsValue</t>
  </si>
  <si>
    <t xml:space="preserve"># Zuordnung erfolgt in den jeweiligen Policies, siehe ASI-03..06, APH-02, AMW-04, SA-01</t>
  </si>
  <si>
    <t xml:space="preserve">Defender-Portal &gt; Bedrohungsrichtlinien &gt; Quarantaenerichtlinie (definieren); zugewiesen wird sie je Verdict in Antispam &gt; &lt;Richtlinie&gt; &gt; "Aktionen", in Antiphishing &gt; "Aktionen" sowie in Antischadsoftware und Sichere Anlagen</t>
  </si>
  <si>
    <t xml:space="preserve">KORREKTUR zum Kommentar im Ursprungsdokument: Eine vorgefertigte Policy namens 'AdminOnlyAccessWithNotifyPolicy' EXISTIERT NICHT. Es gibt nur AdminOnlyAccessPolicy, DefaultFullAccessPolicy und DefaultFullAccessWithNotificationPolicy (plus NotificationEnabledPolicy in Alt-Tenants). Beim Kunden prüfen, was dort tatsächlich steht.</t>
  </si>
  <si>
    <t xml:space="preserve">QUA-02</t>
  </si>
  <si>
    <t xml:space="preserve">Eigene Quarantäne-Policy 'Admin-only mit Benachrichtigung' (falls gewünscht)</t>
  </si>
  <si>
    <t xml:space="preserve">Nur anlegen, wenn der Kunde das Verhalten wirklich will</t>
  </si>
  <si>
    <t xml:space="preserve">implizit über den Kommentar gewünscht</t>
  </si>
  <si>
    <t xml:space="preserve">Get-QuarantinePolicy | Format-Table Name,EndUserQuarantinePermissionsValue,ESNEnabled</t>
  </si>
  <si>
    <t xml:space="preserve">New-QuarantinePolicy -Name "AdminOnlyWithNotify" -EndUserQuarantinePermissionsValue 0 -ESNEnabled $true</t>
  </si>
  <si>
    <t xml:space="preserve">Defender-Portal &gt; Bedrohungsrichtlinien &gt; Quarantaenerichtlinie &gt; "Benutzerdefinierte Richtlinie hinzufuegen" &gt; "Zugriff auf Empfaengernachrichten" &gt; "Spezifischen Zugriff festlegen (Erweitert)" &gt; Quarantaenebenachrichtigung aktivieren</t>
  </si>
  <si>
    <t xml:space="preserve">So erreicht man das, was der Kommentar im Ursprungsdokument gemeint hat: Nutzer werden benachrichtigt, können aber nichts freigeben. Bitmask-Werte: 0 = No access, 43 = Limited access, 39 = Full access. PermissionToViewHeader (128) und PermissionToDownload (64) sind laut MS wirkungslos.</t>
  </si>
  <si>
    <t xml:space="preserve">QUA-03</t>
  </si>
  <si>
    <t xml:space="preserve">Globale Benachrichtigungsfrequenz</t>
  </si>
  <si>
    <t xml:space="preserve">04:00:00 (alle 4 Stunden)</t>
  </si>
  <si>
    <t xml:space="preserve">Kommentar: 'Benachrichtigungen waren bis vor kurzem nur einmal am Tag möglich. Benachrichtigung innerhalb von 4 Stunden konfigurierbar.'</t>
  </si>
  <si>
    <t xml:space="preserve">1.00:00:00 (täglich)</t>
  </si>
  <si>
    <t xml:space="preserve">Get-QuarantinePolicy -QuarantinePolicyType GlobalQuarantinePolicy | Format-List EndUserSpamNotificationFrequency,EndUserSpamNotificationCustomFromAddress,OrganizationBrandingEnabled,MultiLanguageSetting</t>
  </si>
  <si>
    <t xml:space="preserve">Get-QuarantinePolicy -QuarantinePolicyType GlobalQuarantinePolicy | Set-QuarantinePolicy -EndUserSpamNotificationFrequency 04:00:00</t>
  </si>
  <si>
    <t xml:space="preserve">Defender-Portal &gt; Bedrohungsrichtlinien &gt; Quarantaenerichtlinie &gt; Zahnrad "Globale Einstellungen" &gt; "Spambenachrichtigung fuer Endbenutzer senden alle" (4 Stunden / taeglich / woechentlich)</t>
  </si>
  <si>
    <t xml:space="preserve">Der Kommentar von 2023 ist bestätigt und weiterhin korrekt. Gültige Werte sind ausschließlich 04:00:00, 1.00:00:00 und 7.00:00:00. Die Einstellung ist tenant-global und gilt für alle Quarantäne-Policies mit ESNEnabled $true.</t>
  </si>
  <si>
    <t xml:space="preserve">QUA-04</t>
  </si>
  <si>
    <t xml:space="preserve">Corporate Branding und Absenderadresse der Quarantäne-Benachrichtigungen</t>
  </si>
  <si>
    <t xml:space="preserve">OrganizationBrandingEnabled $true, eigene Absenderadresse gesetzt</t>
  </si>
  <si>
    <t xml:space="preserve">Quarantäne-Notifications sind mit Corporate Branding möglich</t>
  </si>
  <si>
    <t xml:space="preserve">$false, Absender quarantine@messaging.microsoft.com</t>
  </si>
  <si>
    <t xml:space="preserve">Get-QuarantinePolicy -QuarantinePolicyType GlobalQuarantinePolicy | Format-List OrganizationBrandingEnabled,EndUserSpamNotificationCustomFromAddress,MultiLanguageSetting,MultiLanguageCustomDisclaimer</t>
  </si>
  <si>
    <t xml:space="preserve">Get-QuarantinePolicy -QuarantinePolicyType GlobalQuarantinePolicy | Set-QuarantinePolicy -OrganizationBrandingEnabled $true -EndUserSpamNotificationCustomFromAddress "quarantaene@kunde.de"</t>
  </si>
  <si>
    <t xml:space="preserve">Defender-Portal &gt; Bedrohungsrichtlinien &gt; Quarantaenerichtlinie &gt; Zahnrad "Globale Einstellungen" &gt; Absenderadresse, Anzeigename, Betreff, Haftungsausschluss und Firmenlogo</t>
  </si>
  <si>
    <t xml:space="preserve">Setzt voraus, dass das M365-Org-Theme vorher konfiguriert ist. Max. 3 Sprachen, Disclaimer max. 200 Zeichen je Sprache. Wirkt direkt gegen Phishing-Mails, die Quarantäne-Benachrichtigungen imitieren - eine der häufigsten Kampagnen.</t>
  </si>
  <si>
    <t xml:space="preserve">Advanced Delivery</t>
  </si>
  <si>
    <t xml:space="preserve">ADV-01</t>
  </si>
  <si>
    <t xml:space="preserve">SecOps-Postfach</t>
  </si>
  <si>
    <t xml:space="preserve">Nur wenn ein dediziertes, isoliertes Security-Postfach existiert. Sonst bewusst nicht konfigurieren.</t>
  </si>
  <si>
    <t xml:space="preserve">SecOps Mailbox to receive unfiltered messages for investigation</t>
  </si>
  <si>
    <t xml:space="preserve">EOP / MDO P1+</t>
  </si>
  <si>
    <t xml:space="preserve">Get-SecOpsOverridePolicy | Format-List Name,SentTo
Get-ExoSecOpsOverrideRule</t>
  </si>
  <si>
    <t xml:space="preserve">New-SecOpsOverridePolicy -Name SecOpsOverridePolicy -SentTo "secops@kunde.de"
New-ExoSecOpsOverrideRule -Name SecOpsOverrideRule -Policy SecOpsOverridePolicy</t>
  </si>
  <si>
    <t xml:space="preserve">Defender-Portal &gt; Bedrohungsrichtlinien &gt; Erweiterte Zustellung (Advanced delivery) &gt; Reiter "SecOps-Postfach" (nur echte Postfaecher, keine Verteilergruppen)</t>
  </si>
  <si>
    <t xml:space="preserve">WARNUNG, die im Ursprungsdokument fehlt: Ein SecOps-Postfach erhält echte Malware UNGEFILTERT - auch der Malware-Filter und Malware-ZAP werden übersprungen. Es darf niemals ein produktives Benutzer- oder Shared-Postfach sein. Achtung Cmdlet-Namen: die Rule-Cmdlets tragen ein 'Exo'-Präfix, die Policy-Cmdlets nicht.</t>
  </si>
  <si>
    <t xml:space="preserve">ADV-02</t>
  </si>
  <si>
    <t xml:space="preserve">Phishing-Simulation (Drittanbieter) korrekt eingebunden</t>
  </si>
  <si>
    <t xml:space="preserve">Über Advanced Delivery, niemals über Transportregel oder IP-Allow-Liste. Simulations-URLs über TABL mit ListSubType AdvancedDelivery.</t>
  </si>
  <si>
    <t xml:space="preserve">Gehört zu MDO-E5! Empfehlung: ab und zu mal machen</t>
  </si>
  <si>
    <t xml:space="preserve">EOP / MDO P1 und P2 — KEINE E5-Anforderung</t>
  </si>
  <si>
    <t xml:space="preserve">Get-PhishSimOverridePolicy | Format-List Name,Enabled
Get-ExoPhishSimOverrideRule</t>
  </si>
  <si>
    <t xml:space="preserve">New-PhishSimOverridePolicy -Name PhishSimOverridePolicy
New-ExoPhishSimOverrideRule -Name PhishSim -Policy PhishSimOverridePolicy -Domains "simulation.anbieter.de" -SenderIpRanges "203.0.113.0/24"</t>
  </si>
  <si>
    <t xml:space="preserve">Defender-Portal &gt; Bedrohungsrichtlinien &gt; Erweiterte Zustellung &gt; Reiter "Phishingsimulation" (Domaene + Sende-IP; IPv6 nur per PowerShell)</t>
  </si>
  <si>
    <t xml:space="preserve">KORREKTUR zum Ursprungsdokument: Advanced Delivery gilt laut MS ausdrücklich für 'Plan 1 and Plan 2' - es ist KEIN E5-Feature. Verwechslung mit 'Attack Simulation Training' (Microsofts eigenes Simulationsprodukt), das tatsächlich MDO P2/E5 erfordert. MS warnt ausdrücklich davor, stattdessen Absender-IPs freizugeben: das 'bypasses spam filtering for any internet sender who impersonates the domain'.</t>
  </si>
  <si>
    <t xml:space="preserve">ADV-03</t>
  </si>
  <si>
    <t xml:space="preserve">Keine Transportregeln mit SCL -1 / Filter-Bypass im Bestand</t>
  </si>
  <si>
    <t xml:space="preserve">Keine Regel, die pauschal die Filterung überspringt. Ausnahmen dokumentiert und befristet.</t>
  </si>
  <si>
    <t xml:space="preserve">Get-TransportRule | Where-Object { $_.SetSCL -eq '-1' -or $_.SetHeaderName -like '*BypassFocusedInbox*' } | Format-Table Name,State,Priority,SetSCL</t>
  </si>
  <si>
    <t xml:space="preserve">Disable-TransportRule -Identity "&lt;Regelname&gt;"</t>
  </si>
  <si>
    <t xml:space="preserve">Exchange Admin Center &gt; Nachrichtenfluss &gt; Regeln: jede Regel auf "Spamfilterung umgehen" (SCL -1) pruefen. Solche Bypaesse gehoeren in die Erweiterte Zustellung oder die TABL</t>
  </si>
  <si>
    <t xml:space="preserve">Neuer Prüfpunkt. Solche Regeln sind der häufigste Grund, warum ein technisch sauber gehärteter Tenant trotzdem Phishing durchlässt. Besonders kritisch: Regeln, die nur auf die Absenderdomäne prüfen - MS wörtlich, das 'significantly increases the likelihood that attackers can spoof the sending domain'.</t>
  </si>
  <si>
    <t xml:space="preserve">E-Mail-Authentifizierung</t>
  </si>
  <si>
    <t xml:space="preserve">AUTH-01</t>
  </si>
  <si>
    <t xml:space="preserve">SPF-Record je akzeptierter Domäne</t>
  </si>
  <si>
    <t xml:space="preserve">v=spf1 [ip4:&lt;eigene Ausgangs-IPs&gt;] include:spf.protection.outlook.com -all</t>
  </si>
  <si>
    <t xml:space="preserve">SPF ist ein (Admin-Center)</t>
  </si>
  <si>
    <t xml:space="preserve">Get-AcceptedDomain | Select-Object DomainName,DomainType,Default
Resolve-DnsName -Name kunde.de -Type TXT | Where-Object { $_.Strings -match '^v=spf1' }</t>
  </si>
  <si>
    <t xml:space="preserve"># kein Cmdlet — Änderung beim DNS-Hoster</t>
  </si>
  <si>
    <t xml:space="preserve">Oeffentliches DNS beim Domain-Hoster: TXT auf &lt;domaene&gt; mit v=spf1 include:spf.protection.outlook.com -all, je akzeptierter Domaene genau einer</t>
  </si>
  <si>
    <t xml:space="preserve">Microsoft wörtlich: 'There are no admin portals or PowerShell cmdlets in Microsoft 365 for you to manage SPF records.' Hybrid-Falle: die öffentliche Ausgangs-IP des On-Prem-Servers muss mit in den Record, sonst brechen alle direkt zugestellten Mails. 10-DNS-Lookup-Limit beachten (include, a, mx, exists, redirect zählen; ip4/ip6/all nicht). spf.protection.outlook.com darf NIEMALS geflattet werden.</t>
  </si>
  <si>
    <t xml:space="preserve">AUTH-02</t>
  </si>
  <si>
    <t xml:space="preserve">SPF-Qualifier -all statt ~all</t>
  </si>
  <si>
    <t xml:space="preserve">-all</t>
  </si>
  <si>
    <t xml:space="preserve">Resolve-DnsName -Name kunde.de -Type TXT | Where-Object { $_.Strings -match '^v=spf1' }</t>
  </si>
  <si>
    <t xml:space="preserve"># kein Cmdlet</t>
  </si>
  <si>
    <t xml:space="preserve">Oeffentliches DNS: TXT auf &lt;domaene&gt;, Endqualifier -all statt ~all</t>
  </si>
  <si>
    <t xml:space="preserve">Microsoft empfiehlt für M365-Domänen -all. Vorher zwingend prüfen, ob alle legitimen Versandquellen (Drucker, ERP, CRM, Newsletter-Dienst, Fax-Gateway, Monitoring) im Record stehen - sonst brechen genau diese.</t>
  </si>
  <si>
    <t xml:space="preserve">AUTH-03</t>
  </si>
  <si>
    <t xml:space="preserve">Ungenutzte und geparkte Domänen abgesichert</t>
  </si>
  <si>
    <t xml:space="preserve">SPF: v=spf1 -all  /  DMARC: v=DMARC1; p=reject;</t>
  </si>
  <si>
    <t xml:space="preserve">Get-AcceptedDomain | Where-Object { $_.DomainType -eq 'Authoritative' } | Select-Object DomainName</t>
  </si>
  <si>
    <t xml:space="preserve">Oeffentliches DNS: fuer geparkte Domaenen TXT v=spf1 -all auf &lt;domaene&gt; plus TXT v=DMARC1; p=reject; auf _dmarc.&lt;domaene&gt;. Gilt auch fuer die onmicrosoft.com-Domaene</t>
  </si>
  <si>
    <t xml:space="preserve">Häufig übersehen. Alte Marken-, Tippfehler- und Vorgängerdomänen sind bevorzugte Absender für Spoofing gegen den eigenen Kunden. Betrifft auch die *.onmicrosoft.com-Domäne, sofern sie nicht für Mail genutzt wird.</t>
  </si>
  <si>
    <t xml:space="preserve">AUTH-04</t>
  </si>
  <si>
    <t xml:space="preserve">DKIM für alle versendenden Custom-Domänen aktiv</t>
  </si>
  <si>
    <t xml:space="preserve">Enabled $true, Status 'Valid' für jede versendende Domäne</t>
  </si>
  <si>
    <t xml:space="preserve">DKIM ein (Authentication Settings)</t>
  </si>
  <si>
    <t xml:space="preserve">nur *.onmicrosoft.com wird automatisch signiert</t>
  </si>
  <si>
    <t xml:space="preserve">Get-DkimSigningConfig | Format-Table Domain,Enabled,Status,Selector1CNAME,Selector2CNAME,KeyCreationTime</t>
  </si>
  <si>
    <t xml:space="preserve">New-DkimSigningConfig -DomainName kunde.de -Enabled $false -KeySize 2048
# CNAMEs im DNS publizieren, dann:
Set-DkimSigningConfig -Identity kunde.de -Enabled $true</t>
  </si>
  <si>
    <t xml:space="preserve">Defender-Portal &gt; Bedrohungsrichtlinien &gt; E-Mail-Authentifizierungseinstellungen &gt; DKIM &gt; Domaene waehlen, Umschalter aktivieren. Vorher die beiden CNAMEs selector1/2._domainkey.&lt;domaene&gt; ins oeffentliche DNS</t>
  </si>
  <si>
    <t xml:space="preserve">Ohne Custom-Domain-DKIM signiert EXO mit der onmicrosoft.com-Domäne. Das ist NICHT DMARC-aligned - DMARC hängt dann allein an SPF, und SPF bricht bei jeder Weiterleitung und jeder Mailingliste. Custom-DKIM ist damit faktische Voraussetzung für belastbares p=reject. CNAME-Werte niemals selbst konstruieren, immer aus Selector1CNAME/Selector2CNAME auslesen.</t>
  </si>
  <si>
    <t xml:space="preserve">AUTH-05</t>
  </si>
  <si>
    <t xml:space="preserve">DKIM-Schlüssellänge 2048 Bit</t>
  </si>
  <si>
    <t xml:space="preserve">2048 (beide Selektoren)</t>
  </si>
  <si>
    <t xml:space="preserve">1024</t>
  </si>
  <si>
    <t xml:space="preserve">Get-DkimSigningConfig -Identity kunde.de | Format-List Selector1KeySize,Selector2KeySize,RotateOnDate,SelectorBeforeRotateOnDate,SelectorAfterRotateOnDate</t>
  </si>
  <si>
    <t xml:space="preserve">Rotate-DkimSigningConfig -Identity kunde.de -KeySize 2048
# ca. 96 Stunden warten, dann ein zweites Mal rotieren</t>
  </si>
  <si>
    <t xml:space="preserve">Die Bitlaenge steuert nur PowerShell: Rotate-DkimSigningConfig -KeySize 2048. Im Portal rotiert man ueber E-Mail-Authentifizierungseinstellungen &gt; DKIM &gt; Domaenenzeile ANKLICKEN &gt; Flyout &gt; "DKIM-Schluessel rotieren"</t>
  </si>
  <si>
    <t xml:space="preserve">Eigene Härtungsempfehlung, KEIN MS-Zitat: Microsoft dokumentiert 1024 als Default und unterstützt 2048, spricht aber keine ausdrückliche Empfehlung aus. Fallstrick: Set-DkimSigningConfig hat KEINEN -KeySize-Parameter. Und: eine Rotation hebt nur den gerade inaktiven Selektor an - für beide sind ZWEI Rotationen nötig.</t>
  </si>
  <si>
    <t xml:space="preserve">AUTH-06</t>
  </si>
  <si>
    <t xml:space="preserve">DMARC-Record je versendender Domäne</t>
  </si>
  <si>
    <t xml:space="preserve">Zielzustand p=reject. Einführung gestuft: p=none -&gt; p=quarantine -&gt; p=reject.</t>
  </si>
  <si>
    <t xml:space="preserve">DMARC: optional (separat, DNS)</t>
  </si>
  <si>
    <t xml:space="preserve">Resolve-DnsName -Name _dmarc.kunde.de -Type TXT</t>
  </si>
  <si>
    <t xml:space="preserve">Oeffentliches DNS: TXT auf _dmarc.&lt;domaene&gt; mit v=DMARC1; p=...; rua=mailto:... Fuer die onmicrosoft.com-Domaene ueber Microsoft 365 Admin Center &gt; Einstellungen &gt; Domaenen</t>
  </si>
  <si>
    <t xml:space="preserve">ABWEICHUNG mit klarer Empfehlung: 'DMARC optional' aus 2023 ist 2026 nicht mehr haltbar. Zwei Gründe: (1) HonorDmarcPolicy setzt fremde DMARC-Policies durch - wer selbst keine hat, wird nicht geschützt. (2) Microsoft verlangt seit Mai 2025 SPF+DKIM+DMARC von Absendern mit mehr als 5.000 Nachrichten/Tag an outlook.com/hotmail.com - sonst Reject mit 550 5.7.515.</t>
  </si>
  <si>
    <t xml:space="preserve">AUTH-07</t>
  </si>
  <si>
    <t xml:space="preserve">DMARC-Reporting (rua) auf ein dediziertes Postfach</t>
  </si>
  <si>
    <t xml:space="preserve">rua= auf Sammelpostfach oder Analysedienst; bei externer Domäne Autorisierungs-Record prüfen</t>
  </si>
  <si>
    <t xml:space="preserve">Oeffentliches DNS: rua=mailto: im TXT auf _dmarc.&lt;domaene&gt;, Ziel ein dediziertes Shared Mailbox, kein Benutzerpostfach</t>
  </si>
  <si>
    <t xml:space="preserve">Fallstrick, der praktisch jeden Kunden mit DMARC-Dienstleister betrifft: liegt die rua-Adresse in einer FREMDEN Domäne, muss die Zieldomäne 'kunde.de._report._dmarc TXT v=DMARC1;' publizieren - sonst verwerfen konforme Reporter die Reports. Weiter: Microsoft sendet grundsätzlich KEINE Forensic-/Failure-Reports (ruf), und Aggregate-Reports nur, wenn der MX der Empfängerdomäne direkt auf M365 zeigt.</t>
  </si>
  <si>
    <t xml:space="preserve">AUTH-08</t>
  </si>
  <si>
    <t xml:space="preserve">ARC Trusted Sealers</t>
  </si>
  <si>
    <t xml:space="preserve">Nur konfigurieren, wenn ein vorgelagerter Dienst Nachrichten verändert UND ARC-Sealing unterstützt.</t>
  </si>
  <si>
    <t xml:space="preserve">Das ist ein recht proprietäres Verfahren....</t>
  </si>
  <si>
    <t xml:space="preserve">keine Sealer</t>
  </si>
  <si>
    <t xml:space="preserve">Get-ArcConfig</t>
  </si>
  <si>
    <t xml:space="preserve">$s = @(Get-ArcConfig | Select-Object -Expand ArcTrustedSealers)
$s += "pphosted.com"
Set-ArcConfig -Identity Default -ArcTrustedSealers $s</t>
  </si>
  <si>
    <t xml:space="preserve">Defender-Portal &gt; Bedrohungsrichtlinien &gt; E-Mail-Authentifizierungseinstellungen &gt; ARC; alternativ Set-ArcConfig -ArcTrustedSealers</t>
  </si>
  <si>
    <t xml:space="preserve">Die Skepsis im Ursprungsdokument ist berechtigt: jeder Trusted Sealer darf beliebige Authentifizierungsergebnisse bezeugen. Nur eintragen, was wirklich im Mailpfad liegt. Der d=-Wert MUSS aus einem echten ARC-Seal-Header einer Testnachricht stammen. FALLSTRICK: Set-ArcConfig ERSETZT die komplette Liste - immer additiv arbeiten (siehe Set-Befehl).</t>
  </si>
  <si>
    <t xml:space="preserve">AUTH-09</t>
  </si>
  <si>
    <t xml:space="preserve">MTA-STS inbound für eigene Domänen</t>
  </si>
  <si>
    <t xml:space="preserve">Optional, empfohlen: TXT-Record _mta-sts + Policy-Datei per HTTPS, erst mode: testing, dann enforce</t>
  </si>
  <si>
    <t xml:space="preserve">STARTTLS / STARTTLS per Policy erzwingen</t>
  </si>
  <si>
    <t xml:space="preserve">nicht konfiguriert; outbound ist immer aktiv</t>
  </si>
  <si>
    <t xml:space="preserve">Resolve-DnsName -Name _mta-sts.kunde.de -Type TXT</t>
  </si>
  <si>
    <t xml:space="preserve"># DNS + Policy-Datei unter https://mta-sts.kunde.de/.well-known/mta-sts.txt</t>
  </si>
  <si>
    <t xml:space="preserve">Oeffentliches DNS: TXT auf _mta-sts.&lt;domaene&gt; PLUS extern gehostete Policy-Datei unter https://mta-sts.&lt;domaene&gt;/.well-known/mta-sts.txt. Exchange Online hostet die Datei nicht. Ausgehend ist MTA-STS immer aktiv</t>
  </si>
  <si>
    <t xml:space="preserve">Das ist die 2026er Antwort auf 'STARTTLS per Policy erzwingen' aus dem Ursprungsdokument. Outbound ist MTA-STS in EXO immer aktiv und braucht keine Konfiguration. Inbound muss der Kunde selbst publizieren - Microsoft empfiehlt Azure Static Web Apps als Hosting.</t>
  </si>
  <si>
    <t xml:space="preserve">AUTH-10</t>
  </si>
  <si>
    <t xml:space="preserve">SMTP DANE mit DNSSEC</t>
  </si>
  <si>
    <t xml:space="preserve">Outbound: Opportunistic (Default) belassen. Inbound: optional, hoher Aufwand, DNSSEC nötig.</t>
  </si>
  <si>
    <t xml:space="preserve">Outbound Opportunistic; Inbound aus</t>
  </si>
  <si>
    <t xml:space="preserve">Get-SmtpDaneInboundStatus -DomainName kunde.de
Get-DnssecStatusForVerifiedDomain -DomainName kunde.de
Get-OutboundConnector | Format-Table Name,SmtpDaneMode,MtaStsMode</t>
  </si>
  <si>
    <t xml:space="preserve">Enable-DnssecForVerifiedDomain -DomainName kunde.de
Enable-SmtpDaneInbound -DomainName kunde.de</t>
  </si>
  <si>
    <t xml:space="preserve">Ausgehend standardmaessig an. Eingehend per Exchange Online PowerShell: Enable-DnssecForVerifiedDomain, dann Enable-SmtpDaneInbound, danach den ausgegebenen MX-Wert beim Hoster setzen und die Delegation DNSSEC-signieren</t>
  </si>
  <si>
    <t xml:space="preserve">Es gibt KEIN Set-SmtpDaneInboundStatus - nur Get-. Aktiviert wird mit Enable-SmtpDaneInbound. Inbound DANE erfordert einen MX-Wechsel auf *.mx.microsoft und ist damit in Gateway- und Hybrid-Empfangsszenarien in der Regel nicht einsetzbar. Für regulierte Partnerbeziehungen kann SmtpDaneMode Mandatory am Outbound Connector sinnvoll sein.</t>
  </si>
  <si>
    <t xml:space="preserve">AUTH-11</t>
  </si>
  <si>
    <t xml:space="preserve">Microsoft Sender Requirements für Massenversand erfüllt</t>
  </si>
  <si>
    <t xml:space="preserve">Für jede Domäne mit Versand an Consumer-Adressen: SPF + DKIM + DMARC mit Alignment</t>
  </si>
  <si>
    <t xml:space="preserve"># Prüfung über die Reports und die DNS-Records der versendenden Domänen</t>
  </si>
  <si>
    <t xml:space="preserve"># siehe AUTH-01, AUTH-04, AUTH-06</t>
  </si>
  <si>
    <t xml:space="preserve">Kein Portal: SPF, DKIM und DMARC ausgerichtet auf die 5322.From-Domaene plus auffindbarer Abmeldemechanismus. Greift ab 5.000 Nachrichten/Tag an Microsoft-Consumer-Dienste, sonst NDR 550 5.7.515</t>
  </si>
  <si>
    <t xml:space="preserve">Seit Mai 2025: ab 5.000 Nachrichten/Tag an outlook.com, hotmail.com, live.com oder msn.com von derselben From-Domäne gelten SPF, DKIM und DMARC (mindestens p=none) als Pflicht. Reject-Code 550 5.7.515. Klebe-Effekt: einmaliges Überschreiten der Schwelle gilt dauerhaft. Relevant für Newsletter, Rechnungsversand und Terminerinnerungen an Privatkunden.</t>
  </si>
  <si>
    <t xml:space="preserve">Enhanced Filtering</t>
  </si>
  <si>
    <t xml:space="preserve">EF-01</t>
  </si>
  <si>
    <t xml:space="preserve">Enhanced Filtering for Connectors — Bedarf korrekt bewertet</t>
  </si>
  <si>
    <t xml:space="preserve">Prüfkriterium: Zeigt der MX-Record direkt auf Exchange Online? Wenn ja: aus lassen. Wenn nein: ZWINGEND aktivieren.</t>
  </si>
  <si>
    <t xml:space="preserve">Im Normalfall nicht benötigt.</t>
  </si>
  <si>
    <t xml:space="preserve">EFSkipLastIP $false, EFSkipIPs leer = deaktiviert</t>
  </si>
  <si>
    <t xml:space="preserve">Resolve-DnsName -Name kunde.de -Type MX
Get-InboundConnector | Format-List Name,Enabled,ConnectorType,SenderIPAddresses,EFSkipLastIP,EFSkipIPs,EFUsers</t>
  </si>
  <si>
    <t xml:space="preserve">Set-InboundConnector -Identity "&lt;Connector&gt;" -EFSkipLastIP $true</t>
  </si>
  <si>
    <t xml:space="preserve">Defender-Portal &gt; Bedrohungsrichtlinien &gt; Erweiterte Filterung (Enhanced filtering) &gt; Eintrag des Inbound-Connectors &gt; zu ueberspringende IPs bzw. "Letzte IP ueberspringen"</t>
  </si>
  <si>
    <t xml:space="preserve">PRÄZISIERUNG zum Ursprungsdokument: Die Aussage 'im Normalfall nicht benötigt' ist als pauschale Regel gefährlich. Sie stimmt nur, wenn der MX direkt auf *.mail.protection.outlook.com zeigt. Steht ein Gateway davor (Hornetsecurity, NoSpamProxy, Proofpoint, Mimecast, Retarus, Sophos, FortiMail, Konzern-Relay, Hybrid mit MX auf On-Prem), dann laufen SPF, DMARC und Spoof Intelligence gegen die falsche IP - und HonorDmarcPolicy arbeitet auf wertloser Datenbasis.</t>
  </si>
  <si>
    <t xml:space="preserve">EF-02</t>
  </si>
  <si>
    <t xml:space="preserve">Bei aktivem Enhanced Filtering: konkurrierende SCL-(-1)-Regeln entfernt</t>
  </si>
  <si>
    <t xml:space="preserve">Keine Transportregel mit SCL -1 für Nachrichten über diesen Connector</t>
  </si>
  <si>
    <t xml:space="preserve">Get-TransportRule | Where-Object { $_.SetSCL -eq '-1' } | Format-Table Name,State,SenderIpRanges</t>
  </si>
  <si>
    <t xml:space="preserve">Exchange Admin Center &gt; Nachrichtenfluss &gt; Regeln: SCL-(-1)-Regeln fuer Nachrichten ueber diesen Connector abschalten</t>
  </si>
  <si>
    <t xml:space="preserve">Microsoft schreibt hier ausdrücklich 'must disable'. Sonst hebt die Regel genau die Filterung wieder auf, die Enhanced Filtering gerade erst wiederhergestellt hat. Weitere Fallstricke: EFUsers braucht exakte Adressen (Aliase zählen nicht); in Hybrid ist die TargetAddress des MailUser-Objekts zu verwenden; enthält eine Nachricht auch nur einen nicht gelisteten Empfänger, gilt für ALLE Empfänger die normale Filterung.</t>
  </si>
  <si>
    <t xml:space="preserve">Kennzeichnung externer E-Mails</t>
  </si>
  <si>
    <t xml:space="preserve">EXT-01</t>
  </si>
  <si>
    <t xml:space="preserve">Natives External-Tag (Set-ExternalInOutlook)</t>
  </si>
  <si>
    <t xml:space="preserve">Kommentar: 'Das Feature müsste über die Exchange Online Powershell aktiviert werden. Set-ExternalInOutlook -Enabled $true'</t>
  </si>
  <si>
    <t xml:space="preserve">Exchange Online (jeder Plan)</t>
  </si>
  <si>
    <t xml:space="preserve">Get-ExternalInOutlook | Format-List Enabled,AllowList</t>
  </si>
  <si>
    <t xml:space="preserve">Set-ExternalInOutlook -Enabled $true</t>
  </si>
  <si>
    <t xml:space="preserve">Kein Portal, nur Exchange Online PowerShell: Set-ExternalInOutlook -Enabled $true, Ausnahmen ueber -AllowList (max. 200). Wirkung erst nach 24-48 Stunden</t>
  </si>
  <si>
    <t xml:space="preserve">Der Kommentar im Ursprungsdokument nennt das richtige Cmdlet, die Begründung ist aber zu korrigieren: External Sender Identification und First Contact Safety Tip sind ZWEI verschiedene Features mit getrennten Cmdlets und Auslösern. Das External-Tag greift bei JEDER externen Mail, der Safety Tip nur bei seltenem/erstem Kontakt. Beide sollten parallel aktiv sein. Wirksamkeit erst nach 24-48 Stunden, nur für neu eingehende Mails. AllowList max. 200 Einträge / 8 KB.</t>
  </si>
  <si>
    <t xml:space="preserve">EXT-02</t>
  </si>
  <si>
    <t xml:space="preserve">Banner-Variante entschieden und mit dem Kunden abgestimmt</t>
  </si>
  <si>
    <t xml:space="preserve">Empfehlung 2026: (1) First Contact Safety Tip immer an, (2) natives External-Tag an, (3) Transportregel-Banner nur, wenn Clientabdeckung nachweislich nicht reicht oder regulatorisch gefordert.</t>
  </si>
  <si>
    <t xml:space="preserve">Zwei Varianten dokumentiert: Variante I (Transportregel-Banner), Variante II (adaptive Impersonation / Safety Tips). 'Mit Kunden muss eine Diskussion geführt werden.'</t>
  </si>
  <si>
    <t xml:space="preserve">Exchange Online / EOP</t>
  </si>
  <si>
    <t xml:space="preserve">Get-TransportRule | Where-Object { $_.ApplyHtmlDisclaimerText } | Format-List Name,State,Mode,Priority,FromScope,ApplyHtmlDisclaimerLocation,ApplyHtmlDisclaimerFallbackAction</t>
  </si>
  <si>
    <t xml:space="preserve"># siehe EXT-03</t>
  </si>
  <si>
    <t xml:space="preserve">Entscheidung zwischen nativem Tag (PowerShell), First-Contact-Tipp (Antiphishing-Richtlinie) und Banner per Transportregel. Nicht mehrere gleichzeitig</t>
  </si>
  <si>
    <t xml:space="preserve">Die Diskussionsempfehlung aus dem Ursprungsdokument bleibt richtig. Ergänzung: die drei Ansätze sind nicht gleichwertig. Nur der First Contact Safety Tip hat eine ausdrückliche Microsoft-Empfehlung. Das native Tag greift nicht in den Nachrichtentext ein und hat daher keine S/MIME- und keine Safe-Attachments-Nebenwirkungen.</t>
  </si>
  <si>
    <t xml:space="preserve">EXT-03</t>
  </si>
  <si>
    <t xml:space="preserve">Falls Transportregel-Banner: korrekt konfiguriert</t>
  </si>
  <si>
    <t xml:space="preserve">FallbackAction Ignore (NIEMALS Wrap), Duplikatsvermeidung per Header-Marker, Hybrid-Ausnahmen per SenderIpRanges, vor Enforce im Mode Audit testen</t>
  </si>
  <si>
    <t xml:space="preserve">Screenshot zeigt Regel 'External mail sender', Prepend, Ausnahme 'Automatic reply', Priority 64, Mode Enforce</t>
  </si>
  <si>
    <t xml:space="preserve">ApplyHtmlDisclaimerFallbackAction Wrap (!)</t>
  </si>
  <si>
    <t xml:space="preserve">Exchange Online</t>
  </si>
  <si>
    <t xml:space="preserve">Get-TransportRule -Identity "External mail sender" | Format-List Name,State,Mode,Priority,FromScope,SentToScope,ApplyHtmlDisclaimerLocation,ApplyHtmlDisclaimerFallbackAction,ExceptIfMessageTypeMatches,ExceptIfSenderIpRanges</t>
  </si>
  <si>
    <t xml:space="preserve">Set-TransportRule -Identity "External mail sender" -ApplyHtmlDisclaimerFallbackAction Ignore</t>
  </si>
  <si>
    <t xml:space="preserve">Exchange Admin Center &gt; Nachrichtenfluss &gt; Regeln: Regel mit "Absender ausserhalb der Organisation" und Aktion "Haftungsausschluss voranstellen", Fallback-Aktion und Ausnahmen setzen</t>
  </si>
  <si>
    <t xml:space="preserve">WICHTIGSTER FALLSTRICK, betrifft die Regel aus dem Ursprungsdokument direkt: Microsoft wörtlich - 'Don't use the value Wrap in rules that affect incoming messages from external senders. (...) The effects of the value Wrap interfere with Safe Attachments scanning.' Wrap ist der DEFAULT. Zweite Korrektur: der Wert 'AutomaticReply' existiert in Exchange Online nicht - der korrekte Wert heißt OOF; Kalendereinladungen sind 'Calendaring'. Und: ExceptIfMessageTypeMatches akzeptiert nur EINEN Wert je Regel.</t>
  </si>
  <si>
    <t xml:space="preserve">Reporting &amp; Alerting</t>
  </si>
  <si>
    <t xml:space="preserve">REP-01</t>
  </si>
  <si>
    <t xml:space="preserve">Berichte im Defender-Portal eingerichtet bzw. Zeitplan aktiv</t>
  </si>
  <si>
    <t xml:space="preserve">Threat protection status und Mailflow status summary als Zeitplan an die IT; Spoof detections regelmäßig sichten</t>
  </si>
  <si>
    <t xml:space="preserve">Es gibt ein konfigurierbares Reporting hierüber</t>
  </si>
  <si>
    <t xml:space="preserve">EOP (Basis) / MDO (erweitert)</t>
  </si>
  <si>
    <t xml:space="preserve">Get-MailFlowStatusReport -StartDate (Get-Date).AddDays(-7) -EndDate (Get-Date) -Direction Inbound
Get-SpoofMailReport -StartDate (Get-Date).AddDays(-7) -EndDate (Get-Date)</t>
  </si>
  <si>
    <t xml:space="preserve"># Zeitplan im Portal über 'Create schedule'</t>
  </si>
  <si>
    <t xml:space="preserve">Defender-Portal &gt; Berichte &gt; E-Mail &amp; Zusammenarbeit; Zeitplan je Bericht ueber "Create schedule"</t>
  </si>
  <si>
    <t xml:space="preserve">Einige Reports wurden verschoben: URL trace -&gt; URL protection report (nur MDO), Malware/Spam detections -&gt; Threat protection status, Forwarding report -&gt; EAC. Get-MailTrafficPolicyReport braucht künftig zwingend -EventType TransportRuleHits bzw. TransportRuleActionHits (Message Center MC1323250), sonst liefern Skripte leere Ergebnisse.</t>
  </si>
  <si>
    <t xml:space="preserve">REP-02</t>
  </si>
  <si>
    <t xml:space="preserve">Alert Policies mit gepflegten Empfängern</t>
  </si>
  <si>
    <t xml:space="preserve">Mindestens 'User restricted from sending email', 'Suspicious email sending patterns detected' und 'Suspicious connector activity' aktiv, Empfänger = Security-Verteiler</t>
  </si>
  <si>
    <t xml:space="preserve">aktiv, Empfänger = TenantAdmins</t>
  </si>
  <si>
    <t xml:space="preserve">EOP (E1/E3/E5)</t>
  </si>
  <si>
    <t xml:space="preserve">Connect-IPPSSession
Get-ProtectionAlert | Where-Object { $_.Category -eq 'ThreatManagement' } | Format-Table Name,Severity,Disabled,NotifyUser</t>
  </si>
  <si>
    <t xml:space="preserve"># Empfänger eingebauter Policies werden im Portal gepflegt — nur eigene Policies sind per Set-ProtectionAlert änderbar</t>
  </si>
  <si>
    <t xml:space="preserve">Defender-Portal &gt; Richtlinien &amp; Regeln &gt; Warnungsrichtlinie; Empfaenger je Richtlinie im Feld "Email recipients"</t>
  </si>
  <si>
    <t xml:space="preserve">Neu gegenüber dem Ursprungsdokument, ersetzt inhaltlich das deprecatete NotifyOutboundSpam. ACHTUNG: Get-ProtectionAlert ist das EINZIGE Cmdlet in diesem Handbuch, das Connect-IPPSSession benötigt. Get-QuarantinePolicy, Get-TenantAllowBlockListItems und Get-ReportSubmissionPolicy laufen entgegen verbreiteter Annahme über Connect-ExchangeOnline. Eingebaute Policies: nur An/Aus, Empfänger und Tageslimit sind änderbar. Sync bis zu 24 Stunden.</t>
  </si>
  <si>
    <t xml:space="preserve">REP-03</t>
  </si>
  <si>
    <t xml:space="preserve">User Reported Settings / Meldeweg für Nutzer</t>
  </si>
  <si>
    <t xml:space="preserve">Meldung an Microsoft aktiv oder an ein internes Postfach; Nutzer wissen, wie sie melden</t>
  </si>
  <si>
    <t xml:space="preserve">Policy DefaultReportSubmissionPolicy</t>
  </si>
  <si>
    <t xml:space="preserve">Get-ReportSubmissionPolicy | Format-List EnableReportToMicrosoft,ReportJunkToCustomizedAddress,ReportJunkAddresses,EnableThirdPartyAddress,DisableQuarantineReportingOption</t>
  </si>
  <si>
    <t xml:space="preserve">Set-ReportSubmissionPolicy -Identity DefaultReportSubmissionPolicy -EnableReportToMicrosoft $true</t>
  </si>
  <si>
    <t xml:space="preserve">Defender-Portal &gt; Einstellungen &gt; E-Mail &amp; Zusammenarbeit &gt; Benutzerdefinierte Meldungen (User reported settings); alternativ *-ReportSubmissionPolicy in PowerShell</t>
  </si>
  <si>
    <t xml:space="preserve">Die drei ReportXxxToCustomizedAddress-Parameter müssen IDENTISCH gesetzt sein, und die Adressen müssen dem -SentTo der ReportSubmissionRule entsprechen. Ohne funktionierenden Meldeweg fehlt der Feedback-Loop, mit dem sich die Filterqualität überhaupt verbessert.</t>
  </si>
  <si>
    <t xml:space="preserve">REP-04</t>
  </si>
  <si>
    <t xml:space="preserve">Message Trace: V2-Cmdlets in Skripten und Runbooks</t>
  </si>
  <si>
    <t xml:space="preserve">Get-MessageTraceV2 / Get-MessageTraceDetailV2 verwenden</t>
  </si>
  <si>
    <t xml:space="preserve">Get-MessageTraceV2 -StartDate (Get-Date).AddDays(-2) -EndDate (Get-Date) -RecipientAddress "user@kunde.de"</t>
  </si>
  <si>
    <t xml:space="preserve">— (nur lesend)</t>
  </si>
  <si>
    <t xml:space="preserve">Kein Portalpunkt, sondern Skripte: auf Get-MessageTraceV2 / Get-MessageTraceDetailV2 umstellen. Interaktiv fuehrt der Defender-Portal-Eintrag nur ins EAC</t>
  </si>
  <si>
    <t xml:space="preserve">Get-MessageTrace ist offiziell abgelöst ('will eventually be deprecated'). Die V2-Cmdlets haben KEINE -Page/-PageSize-Parameter mehr - Paginierung läuft über StartingRecipientAddress und EndDate als Cursor. Retention 90 Tage, aber max. 10 Tage je Abfrage, ohne Datumsangabe nur 48 Stunden. Throttling: 100 Abfragen je 5 Minuten.</t>
  </si>
  <si>
    <t xml:space="preserve">Hybrid &amp; On-Premises</t>
  </si>
  <si>
    <t xml:space="preserve">HYB-01</t>
  </si>
  <si>
    <t xml:space="preserve">Exchange-Server-Version im Support</t>
  </si>
  <si>
    <t xml:space="preserve">Exchange Server SE. Exchange 2016/2019 sind seit 14.10.2025 out of support.</t>
  </si>
  <si>
    <t xml:space="preserve">— (2023 kein Thema)</t>
  </si>
  <si>
    <t xml:space="preserve">Get-ExchangeServer | Format-Table Name,Edition,AdminDisplayVersion,ServerRole</t>
  </si>
  <si>
    <t xml:space="preserve"># Migration/Upgrade — kein Cmdlet</t>
  </si>
  <si>
    <t xml:space="preserve">Nur On-Premises: Exchange Management Shell (Get-ExchangeServer, ExSetup /Version) gegen die Supportability-Matrix. Exchange 2016 und 2019 sind seit 14.10.2025 out of support</t>
  </si>
  <si>
    <t xml:space="preserve">Der wichtigste neue Punkt für Hybrid-Kunden. Support-Ende Exchange 2016 UND 2019: 14. Oktober 2025. Es gibt ein kostenpflichtiges ESU-Programm, das laut Microsoft-Blog im Oktober 2026 endet. In-Place-Upgrade auf SE ist nur ab Exchange 2019 CU14/CU15 möglich; von 2016 aus führt kein direkter Weg.</t>
  </si>
  <si>
    <t xml:space="preserve">HYB-02</t>
  </si>
  <si>
    <t xml:space="preserve">Dedizierte Exchange-Hybrid-App in Entra konfiguriert</t>
  </si>
  <si>
    <t xml:space="preserve">Dedizierte App konfiguriert, Feature-Override aktiv, alter geteilter Service Principal bereinigt</t>
  </si>
  <si>
    <t xml:space="preserve">Test-OAuthConnectivity -Service EWS -TargetUri https://outlook.office365.com -Mailbox &lt;onprem-mailbox&gt;</t>
  </si>
  <si>
    <t xml:space="preserve"># Skript: https://aka.ms/ConfigureExchangeHybridApplication
.\ConfigureExchangeHybridApplication.ps1 -FullyConfigureExchangeHybridApplication</t>
  </si>
  <si>
    <t xml:space="preserve">On-Premises: Skript ConfigureExchangeHybridApplication.ps1 bzw. HCW. Kontrolle der Dienstprinzipal-Anmeldungen in Microsoft Entra ID &gt; Ueberwachung &gt; Anmeldeprotokolle</t>
  </si>
  <si>
    <t xml:space="preserve">SEHR WICHTIG und im Ursprungsdokument nicht enthalten. Hintergrund ist CVE-2025-53786: über den geteilten Service Principal konnte ein kompromittierter On-Prem-Exchange Tokens für den Tenant ausstellen. Seit 31.10.2025 ist der EWS-Zugriff über den geteilten Service Principal permanent blockiert - ohne Umstellung brechen Free/Busy, MailTips und Profilbilder. Mindest-Builds beachten.</t>
  </si>
  <si>
    <t xml:space="preserve">HYB-03</t>
  </si>
  <si>
    <t xml:space="preserve">Default Receive Connector eingeschränkt</t>
  </si>
  <si>
    <t xml:space="preserve">Default-Frontend-Connector NICHT umbauen. Stattdessen dedizierter Relay-Connector mit RemoteIPRanges auf die zulässigen Systeme.</t>
  </si>
  <si>
    <t xml:space="preserve">Der Default Receive Connector muss auf die zulässigen internen Systeme beschränkt werden, die per TCP/25 senden dürfen</t>
  </si>
  <si>
    <t xml:space="preserve">Get-ReceiveConnector | Format-Table Identity,Enabled,Bindings,RemoteIPRanges,PermissionGroups,AuthMechanism
Get-ReceiveConnector | Get-ADPermission | Where-Object { $_.ExtendedRights -like '*SMTP*' }</t>
  </si>
  <si>
    <t xml:space="preserve">New-ReceiveConnector -Name "Internal Relay" -Usage Custom -Bindings 0.0.0.0:25 -RemoteIPRanges 10.0.0.10,10.0.0.11 -TransportRole FrontendTransport -PermissionGroups AnonymousUsers
Add-ADPermission -Identity "Internal Relay" -User "NT AUTHORITY\ANONYMOUS LOGON" -ExtendedRights ms-Exch-SMTP-Accept-Any-Recipient</t>
  </si>
  <si>
    <t xml:space="preserve">Nur On-Premises: "Default Frontend &lt;Server&gt;" nicht fuer anonymes Relay oeffnen, stattdessen dedizierter Receive-Connector mit RemoteIpRanges</t>
  </si>
  <si>
    <t xml:space="preserve">PRÄZISIERUNG zum Ursprungsdokument: die Absicht ist richtig, der Weg ist zu korrigieren. Den 'Default Frontend'-Connector einzuschränken bricht typischerweise den Internet-Mailfluss, weil er auch die Zustellung von EOP annimmt. Best Practice ist ein zusätzlicher, eng gescopter Relay-Connector mit höherer Spezifität.</t>
  </si>
  <si>
    <t xml:space="preserve">HYB-04</t>
  </si>
  <si>
    <t xml:space="preserve">Ausgehende Firewall-Regeln für SMTP/IMAP/POP</t>
  </si>
  <si>
    <t xml:space="preserve">Unverändert übernehmen — mit dem Hinweis, dass es dafür keine Microsoft-Doku gibt, sondern gute Betriebspraxis ist.</t>
  </si>
  <si>
    <t xml:space="preserve">Firewall sollte ausgehend TCP/25 sperren (außer Exchange), möglichst auch TCP/465+587, 143+993, 110+995</t>
  </si>
  <si>
    <t xml:space="preserve"># Prüfung auf der Firewall, nicht per PowerShell</t>
  </si>
  <si>
    <t xml:space="preserve"># Firewall-Regelwerk</t>
  </si>
  <si>
    <t xml:space="preserve">Perimeter- und Host-Firewall: ausgehend SMTP 25/587 nur von den Transport-Servern, POP3 110/995 und IMAP4 143/993 nach aussen sperren</t>
  </si>
  <si>
    <t xml:space="preserve">Ehrlichkeitshinweis für den Kunden: Es gibt hierzu KEINE offizielle Microsoft-Empfehlung. Die Begründung bleibt trotzdem stichhaltig - ein infizierter Client, der direkt nach außen auf 25 spricht, bringt die Unternehmens-IP auf Blocklisten und umgeht jede EOP-Outbound-Kontrolle. Als Consultant-Empfehlung kennzeichnen, nicht als MS-Doktrin.</t>
  </si>
  <si>
    <t xml:space="preserve">HYB-05</t>
  </si>
  <si>
    <t xml:space="preserve">SMTP AUTH tenantweit deaktiviert, Ausnahmen pro Postfach</t>
  </si>
  <si>
    <t xml:space="preserve">Tenantweit deaktiviert; Ausnahmen einzeln, dokumentiert und befristet</t>
  </si>
  <si>
    <t xml:space="preserve">Get-TransportConfig | Format-List SmtpClientAuthenticationDisabled
Get-CASMailbox -ResultSize Unlimited | Where-Object { $_.SmtpClientAuthenticationDisabled -eq $false } | Select-Object Identity</t>
  </si>
  <si>
    <t xml:space="preserve">Set-TransportConfig -SmtpClientAuthenticationDisabled $true
Set-CASMailbox -Identity "scanner@kunde.de" -SmtpClientAuthenticationDisabled $false</t>
  </si>
  <si>
    <t xml:space="preserve">Exchange Admin Center &gt; Einstellungen &gt; E-Mail-Fluss &gt; "SMTP AUTH-Protokoll fuer Ihre Organisation deaktivieren". Ausnahmen je Postfach ueber Set-CASMailbox</t>
  </si>
  <si>
    <t xml:space="preserve">Neuer Prüfpunkt. SMTP AUTH mit Basic Auth ist einer der letzten verbliebenen Wege für Passwort-Spraying gegen Exchange Online. Die Ausnahmen sind fast immer Multifunktionsdrucker, Scanner und Fachanwendungen - diese gehören auf den internen Relay-Connector (HYB-03), nicht auf SMTP AUTH gegen EXO.</t>
  </si>
  <si>
    <t xml:space="preserve">HYB-06</t>
  </si>
  <si>
    <t xml:space="preserve">POP3 und IMAP4 deaktiviert</t>
  </si>
  <si>
    <t xml:space="preserve">Im Mailbox-Plan und für Bestandspostfächer deaktiviert</t>
  </si>
  <si>
    <t xml:space="preserve">— (implizit über die Firewall-Empfehlung)</t>
  </si>
  <si>
    <t xml:space="preserve">Get-CASMailboxPlan | Format-Table Name,PopEnabled,ImapEnabled
Get-CASMailbox -ResultSize Unlimited | Where-Object { $_.PopEnabled -or $_.ImapEnabled } | Select-Object Identity,PopEnabled,ImapEnabled</t>
  </si>
  <si>
    <t xml:space="preserve">Get-CASMailboxPlan | Set-CASMailboxPlan -PopEnabled $false -ImapEnabled $false
Get-CASMailbox -ResultSize Unlimited | Set-CASMailbox -PopEnabled $false -ImapEnabled $false</t>
  </si>
  <si>
    <t xml:space="preserve">Exchange Admin Center &gt; Empfaenger &gt; Postfaecher &gt; &lt;Postfach&gt; &gt; "E-Mail-App-Einstellungen verwalten"; organisationsweit ueber Set-CASMailbox bzw. Set-CASMailboxPlan fuer neue Postfaecher</t>
  </si>
  <si>
    <t xml:space="preserve">Der Mailbox-Plan wirkt nur auf NEUE Postfächer - Bestandspostfächer müssen separat umgestellt werden. POP/IMAP-Clients umgehen Safety Tips, External-Tags und Safe Links vollständig.</t>
  </si>
  <si>
    <t xml:space="preserve">HYB-07</t>
  </si>
  <si>
    <t xml:space="preserve">Nachrichtengrößen-Limits</t>
  </si>
  <si>
    <t xml:space="preserve">Bewusst gesetzt und dokumentiert (EXO max. 150 MB)</t>
  </si>
  <si>
    <t xml:space="preserve">Größenbeschränkung für Mails: ein/ausgehend in Exchange</t>
  </si>
  <si>
    <t xml:space="preserve">Get-Mailbox -ResultSize Unlimited | Select-Object -First 5 Identity,MaxSendSize,MaxReceiveSize
Get-MailboxPlan | Format-Table Name,MaxSendSize,MaxReceiveSize
Get-TransportConfig | Format-List MaxSendSize,MaxReceiveSize</t>
  </si>
  <si>
    <t xml:space="preserve">Get-MailboxPlan | Set-MailboxPlan -MaxSendSize 35MB -MaxReceiveSize 35MB</t>
  </si>
  <si>
    <t xml:space="preserve">Exchange Admin Center &gt; Empfaenger &gt; Postfaecher &gt; &lt;Postfach&gt; &gt; "Nachrichtengroessenbeschraenkung verwalten"; die Dienstgrenzwerte sind harte Limits</t>
  </si>
  <si>
    <t xml:space="preserve">On-Prem zusätzlich: Set-TransportConfig, Set-ReceiveConnector -MaxMessageSize, Set-SendConnector -MaxMessageSize. In Hybrid müssen die Werte auf beiden Seiten UND auf den Connectors zusammenpassen, sonst entstehen schwer diagnostizierbare NDRs im Grenzbereich.</t>
  </si>
  <si>
    <t xml:space="preserve">HYB-08</t>
  </si>
  <si>
    <t xml:space="preserve">TLS zu definierten Partnern erzwungen</t>
  </si>
  <si>
    <t xml:space="preserve">Für definierte Partner: Outbound Connector mit TlsSettings DomainValidation und TlsDomain</t>
  </si>
  <si>
    <t xml:space="preserve">STARTTLS per Policy erzwingen (Exchange)</t>
  </si>
  <si>
    <t xml:space="preserve">TlsSettings $null</t>
  </si>
  <si>
    <t xml:space="preserve">Get-OutboundConnector | Format-List Name,Enabled,RecipientDomains,TlsSettings,TlsDomain,SmtpDaneMode,MtaStsMode
Get-InboundConnector | Format-List Name,RequireTls,TlsSenderCertificateName</t>
  </si>
  <si>
    <t xml:space="preserve">New-OutboundConnector -Name "Secure to Partner" -ConnectorType Partner -RecipientDomains partner.de -UseMXRecord $true -TlsSettings DomainValidation -TlsDomain "*.partner.de"</t>
  </si>
  <si>
    <t xml:space="preserve">Exchange Admin Center &gt; Nachrichtenfluss &gt; Connectors &gt; ausgehender Connector: "Immer eine TLS-gesicherte Verbindung verwenden" plus Zertifikatspruefung</t>
  </si>
  <si>
    <t xml:space="preserve">Stufenlogik: EncryptionOnly (schwach, keine Zertifikatsprüfung) &lt; CertificateValidation &lt; DomainValidation (empfohlen). TlsDomain ist nur bei DomainValidation wirksam. Nicht mit RouteAllMessagesViaOnPremises verwechseln - das erzwingt Centralized Mail Transport und verändert den gesamten Ausgangspfad.</t>
  </si>
  <si>
    <t xml:space="preserve">HYB-09</t>
  </si>
  <si>
    <t xml:space="preserve">Inbound-/Outbound-Connectors auditiert</t>
  </si>
  <si>
    <t xml:space="preserve">Jeder Connector hat einen bekannten Zweck; keine verwaisten oder zu weit gefassten Connectors</t>
  </si>
  <si>
    <t xml:space="preserve">Get-InboundConnector | Format-List Name,Enabled,ConnectorType,ConnectorSource,SenderIPAddresses,SenderDomains,RestrictDomainsToIPAddresses,TreatMessagesAsInternal,EFSkipLastIP
Get-OutboundConnector | Format-List Name,Enabled,ConnectorType,RecipientDomains,SmartHosts,RouteAllMessagesViaOnPremises</t>
  </si>
  <si>
    <t xml:space="preserve">Set-InboundConnector -Identity "&lt;Connector&gt;" -Enabled $false</t>
  </si>
  <si>
    <t xml:space="preserve">Exchange Admin Center &gt; Nachrichtenfluss &gt; Connectors: alle ein- und ausgehenden Connectors inventarisieren (HCW vs. manuell, IP-Bereiche, Zertifikate)</t>
  </si>
  <si>
    <t xml:space="preserve">Besonders prüfen: TreatMessagesAsInternal $true auf einem Partner-Connector hebt die Unterscheidung intern/extern auf - damit greifen External-Tag, First Contact Safety Tip und TABL-Blocks nicht mehr. Verwaiste Connectors aus abgelösten Gateway-Projekten sind ein häufiger Befund.</t>
  </si>
  <si>
    <t xml:space="preserve">Betrieb &amp; Voraussetzungen</t>
  </si>
  <si>
    <t xml:space="preserve">OPS-01</t>
  </si>
  <si>
    <t xml:space="preserve">Rollen und Berechtigungen für Audit und Umsetzung geklärt</t>
  </si>
  <si>
    <t xml:space="preserve">Audit: Global Reader + Security Reader. Umsetzung: Security Administrator + Exchange Administrator. Global Administrator vermeiden.</t>
  </si>
  <si>
    <t xml:space="preserve"># im Entra Admin Center bzw. Defender-Portal prüfen</t>
  </si>
  <si>
    <t xml:space="preserve"># Rollenzuweisung im Entra Admin Center</t>
  </si>
  <si>
    <t xml:space="preserve">Defender-Portal &gt; Berechtigungen: Rollengruppen "E-Mail &amp; Zusammenarbeit" bzw. Defender XDR Unified RBAC; dazu die Entra-Rollen</t>
  </si>
  <si>
    <t xml:space="preserve">Falle: Ist Defender Unified RBAC für Email &amp; collaboration aktiviert, ist die klassische Berechtigungsseite im Portal nicht mehr verfügbar. Rollen müssen VOR der Aktivierung konfiguriert oder importiert werden. Für DKIM-/ARC-Einstellungen reicht die Rolle Security Administrator laut Doku nicht - dort ist Exchange Organization Management bzw. die entsprechende Defender-XDR-RBAC-Rolle nötig.</t>
  </si>
  <si>
    <t xml:space="preserve">OPS-02</t>
  </si>
  <si>
    <t xml:space="preserve">Exchange Online PowerShell V3 einsatzbereit (PS 5.1)</t>
  </si>
  <si>
    <t xml:space="preserve">Modul ExchangeOnlineManagement aktuell, TLS 1.2 aktiv, .NET Framework 4.7.2+</t>
  </si>
  <si>
    <t xml:space="preserve">Get-Module -ListAvailable ExchangeOnlineManagement | Format-Table Name,Version</t>
  </si>
  <si>
    <t xml:space="preserve">[Net.ServicePointManager]::SecurityProtocol = [Net.SecurityProtocolType]::Tls12
Install-Module ExchangeOnlineManagement -Scope CurrentUser -Force</t>
  </si>
  <si>
    <t xml:space="preserve">Kein Portal: Admin-Arbeitsplatz. Modul ExchangeOnlineManagement, Windows PowerShell 5.1 mit .NET 4.7.2+ oder PowerShell 7</t>
  </si>
  <si>
    <t xml:space="preserve">Windows PowerShell 5.1 wird durchgängig unterstützt - Microsoft wörtlich: 'All versions of the module are supported and compatible in Windows PowerShell 5.1.' ABER: -Device (Device Code Flow) und -InlineCredential brauchen PowerShell 7 und laufen NICHT unter 5.1. Für unbeaufsichtigte Läufe unter 5.1 bleibt nur zertifikatsbasierte App-only-Authentifizierung. -UseRPSSession ist ab Modul 3.9.2 deprecated und gehört aus Altskripten entfernt.</t>
  </si>
  <si>
    <t xml:space="preserve">OPS-03</t>
  </si>
  <si>
    <t xml:space="preserve">Ausgangszustand vor Änderungen gesichert</t>
  </si>
  <si>
    <t xml:space="preserve">Vollständiger Export aller Policy-Objekte vor der ersten Änderung</t>
  </si>
  <si>
    <t xml:space="preserve"># über Invoke-EopAudit.ps1 -ExportJson</t>
  </si>
  <si>
    <t xml:space="preserve">Baseline per PowerShell exportieren; ergaenzend Konfigurationsanalyse &gt; Reiter "Configuration drift analysis and history" (setzt Unified Auditing voraus)</t>
  </si>
  <si>
    <t xml:space="preserve">Es gibt in EOP/MDO keine eingebaute Rollback-Funktion. Der Export des Ist-Zustands IST das Rollback. Zusätzlich Unified Auditing prüfen - der Configuration Analyzer zeigt danach im Tab 'Configuration drift analysis and history' bis zu 90 Tage rückwirkend, wer was geändert hat.</t>
  </si>
  <si>
    <t xml:space="preserve">OPS-04</t>
  </si>
  <si>
    <t xml:space="preserve">Änderungen dokumentiert und Nachkontrolle terminiert</t>
  </si>
  <si>
    <t xml:space="preserve">Termin für Nachkontrolle nach 7-14 Tagen; False Positives auswerten</t>
  </si>
  <si>
    <t xml:space="preserve">Get-ConfigAnalyzerPolicyRecommendation -RecommendedPolicyType Standard</t>
  </si>
  <si>
    <t xml:space="preserve">Nachweis ueber Microsoft Purview &gt; Audit (Unified Audit Log); Nachkontrolle als wiederkehrenden Termin setzen</t>
  </si>
  <si>
    <t xml:space="preserve">Die meisten Rückfragen kommen in den ersten zwei Wochen nach der Verschärfung - vor allem bei Bulk-Schwelle, Phishing-Threshold und Impersonation. Ohne eingeplanten Nachtermin landen diese Rückfragen ungefiltert beim Kunden und die Härtung wird pauschal zurückgedreht.</t>
  </si>
  <si>
    <t xml:space="preserve">Microsoft Teams Protection</t>
  </si>
  <si>
    <t xml:space="preserve">TEAMS-01</t>
  </si>
  <si>
    <t xml:space="preserve">ZAP für Teams-Nachrichten aktiv</t>
  </si>
  <si>
    <t xml:space="preserve">ZapEnabled $true, Quarantäne-Policies auf AdminOnlyAccessPolicy</t>
  </si>
  <si>
    <t xml:space="preserve">ZapEnabled $false</t>
  </si>
  <si>
    <t xml:space="preserve">MDO P1+ (ZAP und Admin-Quarantäne für Teams seit Januar 2026 auch in P1)</t>
  </si>
  <si>
    <t xml:space="preserve">Get-TeamsProtectionPolicy | Format-List Identity,ZapEnabled,HighConfidencePhishQuarantineTag,MalwareQuarantineTag</t>
  </si>
  <si>
    <t xml:space="preserve">Set-TeamsProtectionPolicy -Identity "Teams Protection Policy" -ZapEnabled $true -HighConfidencePhishQuarantineTag AdminOnlyAccessPolicy -MalwareQuarantineTag AdminOnlyAccessPolicy</t>
  </si>
  <si>
    <t xml:space="preserve">Defender-Portal &gt; Einstellungen &gt; E-Mail &amp; Zusammenarbeit &gt; Microsoft Teams-Schutz (NICHT mehr unter Bedrohungsrichtlinien) &gt; ZAP fuer Teams, Quarantaenerichtlinie, Ausnahmen</t>
  </si>
  <si>
    <t xml:space="preserve">Größte Funktionsergänzung seit Entstehung des Ursprungsdokuments. Nicht zu verwechseln mit Safe Links für Teams (SL-01) - das ist etwas anderes. Der Default von ZapEnabled ist laut Cmdlet-Referenz $false. Achtung: Teams-Chat ist bei vielen Kunden inzwischen der bevorzugte Kanal für interne Kommunikation und damit ein Angriffsziel.</t>
  </si>
  <si>
    <t xml:space="preserve">ASO-07</t>
  </si>
  <si>
    <t xml:space="preserve">Remote Domain: automatische Weiterleitung</t>
  </si>
  <si>
    <t xml:space="preserve">AutoForwardEnabled $false in der Default-Remote-Domain</t>
  </si>
  <si>
    <t xml:space="preserve">$true (Default-Remote-Domain in Exchange Online)</t>
  </si>
  <si>
    <t xml:space="preserve">Get-RemoteDomain | Format-Table Name,DomainName,AutoForwardEnabled,AutoReplyEnabled,AllowedOOFType</t>
  </si>
  <si>
    <t xml:space="preserve">Set-RemoteDomain -Identity Default -AutoForwardEnabled $false</t>
  </si>
  <si>
    <t xml:space="preserve">NICHT im Defender-Portal: Exchange Admin Center &gt; Nachrichtenfluss &gt; Remotedomaenen &gt; "Default" &gt; Abschnitt "Automatische Antworten" (dort sitzt die Weiterleitungsoption)</t>
  </si>
  <si>
    <t xml:space="preserve">ZWEITER, UNABHÄNGIGER WEG für automatische Weiterleitungen neben AutoForwardingMode (ASO-04). Microsoft: '$true ... is the default for the built-in remote domain named Default in Exchange Online.' Wer nur ASO-04 prüft, übersieht diesen Pfad. Vorsicht bei Hybrid: eine eigene Remote Domain für die *.mail.onmicrosoft.com-Domäne muss AutoForwardEnabled $true behalten.</t>
  </si>
  <si>
    <t xml:space="preserve">ASO-08</t>
  </si>
  <si>
    <t xml:space="preserve">Versand aus der onmicrosoft.com-Domäne</t>
  </si>
  <si>
    <t xml:space="preserve">Kein produktiver Versand aus der *.onmicrosoft.com-Domäne; alle Dienstkonten und Geräte auf eine Custom-Domäne umstellen</t>
  </si>
  <si>
    <t xml:space="preserve">Microsoft drosselt den Versand aus der Default-onmicrosoft.com-Domäne</t>
  </si>
  <si>
    <t xml:space="preserve">Get-Mailbox -ResultSize Unlimited | Where-Object { $_.PrimarySmtpAddress -like '*.onmicrosoft.com' } | Select-Object DisplayName,PrimarySmtpAddress</t>
  </si>
  <si>
    <t xml:space="preserve"># Primäradresse auf eine Custom-Domäne umstellen (Set-Mailbox -PrimarySmtpAddress)</t>
  </si>
  <si>
    <t xml:space="preserve">Keine Einstellung, mandantenweite Drosselung. Pruefung: Exchange Admin Center &gt; Nachrichtenfluss &gt; Akzeptierte Domaenen sowie Absenderdomaenen in Connectors und Anwendungen</t>
  </si>
  <si>
    <t xml:space="preserve">Betrifft genau die Konten, um die es in ASO-06 und HYB-05 geht: Testkonten, Fachanwendungen, Drucker, Monitoring. Symptom ist ein NDR mit 550 5.7.236. Microsoft hat die Drosselung im Exchange-Team-Blog 'Limiting Onmicrosoft Domain Usage for Sending Emails' angekündigt - den exakten Grenzwert vor der Kundenaussage dort gegenprüfen.</t>
  </si>
  <si>
    <t xml:space="preserve">HYB-10</t>
  </si>
  <si>
    <t xml:space="preserve">Accepted-Domain-Typ und Directory Based Edge Blocking</t>
  </si>
  <si>
    <t xml:space="preserve">Authoritative, sofern alle Empfänger in Exchange Online liegen</t>
  </si>
  <si>
    <t xml:space="preserve">Authoritative bei neu hinzugefügten Domänen</t>
  </si>
  <si>
    <t xml:space="preserve">Get-AcceptedDomain | Format-Table DomainName,DomainType,Default</t>
  </si>
  <si>
    <t xml:space="preserve">Set-AcceptedDomain -Identity "kunde.de" -DomainType Authoritative</t>
  </si>
  <si>
    <t xml:space="preserve">Exchange Admin Center &gt; Nachrichtenfluss &gt; Akzeptierte Domaenen: Typ "Autorisierend" schaltet DBEB ein, "Internes Relay" schaltet es ab</t>
  </si>
  <si>
    <t xml:space="preserve">Steht der Typ auf InternalRelay, nimmt EOP Nachrichten an nicht existierende Empfänger an, statt sie am Netzwerkrand abzuweisen. Folge: unnötige Last, Backscatter durch nachgelagerte NDRs und eine verschenkte kostenlose Filterstufe. Microsoft: 'Setting this option enables Directory-Based Edge Blocking (DBEB), which rejects messages for invalid recipients at the service network perimeter.' Vor der Umstellung sicherstellen, dass ALLE Empfänger im Tenant bekannt sind - sonst gehen legitime Mails verloren.</t>
  </si>
  <si>
    <t xml:space="preserve">Wirksamkeitsnachweis</t>
  </si>
  <si>
    <t xml:space="preserve">VER-01</t>
  </si>
  <si>
    <t xml:space="preserve">Malware- und Anhangsfilter nachgewiesen</t>
  </si>
  <si>
    <t xml:space="preserve">EICAR-Testdatei von extern an ein Testpostfach; Ergebnis in Quarantäne bzw. NDR nachweisen</t>
  </si>
  <si>
    <t xml:space="preserve">Get-MessageTraceV2 -StartDate (Get-Date).AddHours(-2) -EndDate (Get-Date) -RecipientAddress "test@kunde.de" | Format-Table Received,SenderAddress,Subject,Status</t>
  </si>
  <si>
    <t xml:space="preserve">— (Testdurchführung)</t>
  </si>
  <si>
    <t xml:space="preserve">Defender-Portal &gt; Ueberpruefen &gt; Quarantaene, Filter Richtlinientyp = Antischadsoftware-Richtlinie</t>
  </si>
  <si>
    <t xml:space="preserve">Ohne Wirksamkeitsnachweis bleibt die Härtung eine Behauptung. EICAR ist eine harmlose, standardisierte Testsignatur. Zusätzlich eine Datei mit einer blockierten Endung (z.B. .iso) senden, um AMW-01 zu belegen. Beides vorher mit dem Kunden abstimmen - das erzeugt Alerts.</t>
  </si>
  <si>
    <t xml:space="preserve">VER-02</t>
  </si>
  <si>
    <t xml:space="preserve">Nachrichten-Header ausgewertet</t>
  </si>
  <si>
    <t xml:space="preserve">Für je eine Test-Nachricht die Header-Felder dokumentiert</t>
  </si>
  <si>
    <t xml:space="preserve"># X-Forefront-Antispam-Report: CAT: (Verdict), SFV: (Filterergebnis), SCL: (Spam-Score), IPV:CAL (IP-Allow-Treffer)
# Authentication-Results: spf=, dkim=, dmarc=, compauth= mit reason=</t>
  </si>
  <si>
    <t xml:space="preserve">Kein Portal: Outlook &gt; Datei &gt; Eigenschaften &gt; Internetkopfzeilen (neues Outlook/OWA: Nachricht &gt; ... &gt; Details anzeigen). Ausgewertet werden X-Forefront-Antispam-Report, X-Microsoft-Antispam und Authentication-Results</t>
  </si>
  <si>
    <t xml:space="preserve">Die Header sind der einzige belastbare Nachweis, dass eine Einstellung greift. CAT:HPHSH belegt High Confidence Phishing, SFV:SKA einen Allow-Listen-Treffer, IPV:CAL einen Connection-Filter-Treffer, compauth=fail reason=000/001 eine explizite bzw. implizite Authentifizierungslücke. Für die Abschlussbesprechung ein Header-Beispiel mitbringen.</t>
  </si>
  <si>
    <t xml:space="preserve">VER-03</t>
  </si>
  <si>
    <t xml:space="preserve">Spoof- und Linkschutz nachgewiesen</t>
  </si>
  <si>
    <t xml:space="preserve">Spoof-Test von einem externen Postfach mit gefälschter Absenderdomäne; Safe-Links-Testklick</t>
  </si>
  <si>
    <t xml:space="preserve">Get-SpoofMailReport -StartDate (Get-Date).AddDays(-1) -EndDate (Get-Date)</t>
  </si>
  <si>
    <t xml:space="preserve">Defender-Portal &gt; E-Mail &amp; Zusammenarbeit &gt; Explorer (P2) bzw. Echtzeiterkennungen (P1), Ansichten Phish und URL-Klicks</t>
  </si>
  <si>
    <t xml:space="preserve">Ein Spoof-Test mit der eigenen Domäne als Absender zeigt dem Kunden unmittelbar, was APH-01 bis APH-05 bewirken. Wichtig: vorher ankündigen und protokollieren, damit der Test nicht als echter Vorfall behandelt wird.</t>
  </si>
  <si>
    <t xml:space="preserve">Governance &amp; Datenschutz</t>
  </si>
  <si>
    <t xml:space="preserve">GOV-01</t>
  </si>
  <si>
    <t xml:space="preserve">Datenschutz und Mitbestimmung geklärt</t>
  </si>
  <si>
    <t xml:space="preserve">Einsicht der Administratoren in Quarantäne, Message Trace und Threat Explorer geregelt; ggf. Betriebsvereinbarung angepasst</t>
  </si>
  <si>
    <t xml:space="preserve">Kein Microsoft-Portalpunkt: organisatorisch - Datenschutz-Folgenabschaetzung, Verfahrensverzeichnis und Mitbestimmung fuer Quarantaene-Einsicht und Explorer-Preview</t>
  </si>
  <si>
    <t xml:space="preserve">In Deutschland regelmäßig der Punkt, an dem ein Hardening hängen bleibt. Quarantäne, Message Trace und Threat Explorer erlauben Administratoren Einblick in Betreffzeilen und Kommunikationsbeziehungen einzelner Beschäftigter. Vor der Einführung mit Datenschutzbeauftragtem und ggf. Betriebsrat klären: Wer darf was einsehen, wie lange werden Daten aufbewahrt, wie wird protokolliert. Zwei Punkte in diesem Standard sind hier besonders relevant: der First Contact Safety Tip (APH-07) legt Kommunikationsgewohnheiten offen, DMARC-Failure-Reports (AUTH-07) können Nachrichteninhalte enthalten.</t>
  </si>
  <si>
    <t xml:space="preserve">AUTH-12</t>
  </si>
  <si>
    <t xml:space="preserve">BIMI</t>
  </si>
  <si>
    <t xml:space="preserve">Optional, erst nach DMARC p=quarantine oder p=reject</t>
  </si>
  <si>
    <t xml:space="preserve">Resolve-DnsName -Name default._bimi.kunde.de -Type TXT</t>
  </si>
  <si>
    <t xml:space="preserve"># DNS-Record plus SVG-Logo, ggf. mit Verified Mark Certificate</t>
  </si>
  <si>
    <t xml:space="preserve">Oeffentliches DNS: TXT auf default._bimi.&lt;domaene&gt;. Voraussetzung ist DMARC p=quarantine oder p=reject. Exchange Online wertet BIMI derzeit nicht aus</t>
  </si>
  <si>
    <t xml:space="preserve">Setzt DMARC mit p=quarantine oder p=reject voraus und ist damit die logische Fortsetzung von AUTH-06. Microsoft unterstützt BIMI in Outlook. Praktischer Nutzen: die Marketingabteilung fragt erfahrungsgemäß danach, sobald DMARC scharf ist - und es ist ein guter Anlass, DMARC überhaupt durchzuziehen.</t>
  </si>
  <si>
    <t xml:space="preserve">Defender P2 (falls lizenziert)</t>
  </si>
  <si>
    <t xml:space="preserve">P2-01</t>
  </si>
  <si>
    <t xml:space="preserve">Automated Investigation and Response, Threat Explorer, Attack Simulation</t>
  </si>
  <si>
    <t xml:space="preserve">Ausstehende AIR-Aktionen regelmäßig freigeben; Threat Explorer und Campaign Views im Betrieb nutzen</t>
  </si>
  <si>
    <t xml:space="preserve">MDO P2 / M365 E5</t>
  </si>
  <si>
    <t xml:space="preserve"># Portal: Incidents &amp; alerts, Action center, Threat Explorer, Campaigns
Get-EmailTenantSettings | Format-List EnablePriorityAccountProtection</t>
  </si>
  <si>
    <t xml:space="preserve">— (überwiegend Portal-Arbeit)</t>
  </si>
  <si>
    <t xml:space="preserve">Defender-Portal &gt; Untersuchungen (AIR, nur MDO Plan 2; setzt aktiviertes Audit-Logging voraus)</t>
  </si>
  <si>
    <t xml:space="preserve">Ein E5-Kunde bezahlt für Funktionen, die in einem reinen P1-Hardening nicht vorkommen. AIR erzeugt Untersuchungen mit ausstehenden Aktionen, die jemand freigeben muss - passiert das nicht, laufen sie ins Leere. Threat Explorer und Campaign Views sind zugleich die Werkzeuge, mit denen sich die Wirkung des Hardenings gegenüber dem Kunden belegen lässt. Attack Simulation Training (P2) ist die Microsoft-eigene Alternative zu den Drittanbieter-Simulationen aus ADV-02.</t>
  </si>
  <si>
    <t xml:space="preserve">Auswertung</t>
  </si>
  <si>
    <t xml:space="preserve">Die Werte aktualisieren sich automatisch aus dem Blatt „Checkliste“.</t>
  </si>
  <si>
    <t xml:space="preserve">Gesamtübersicht</t>
  </si>
  <si>
    <t xml:space="preserve">Anzahl</t>
  </si>
  <si>
    <t xml:space="preserve">Anteil</t>
  </si>
  <si>
    <t xml:space="preserve">Prüfpunkte gesamt</t>
  </si>
  <si>
    <t xml:space="preserve">Nach Kategorie</t>
  </si>
  <si>
    <t xml:space="preserve">Prüfpunkte</t>
  </si>
  <si>
    <t xml:space="preserve">Verbesserung</t>
  </si>
  <si>
    <t xml:space="preserve">bewusst abgew.</t>
  </si>
  <si>
    <t xml:space="preserve">Kritische Punkte zuerst angehen</t>
  </si>
  <si>
    <t xml:space="preserve">Filtern Sie auf dem Blatt „Checkliste“ die Spalte „Bewertung“ nach „Kritisch“ — diese Punkte gehören in die Sofortmaßnahmen. Alles mit „Verbesserung empfohlen“ geht in die Folgeplanung.</t>
  </si>
  <si>
    <t xml:space="preserve">Was die Kürzel bedeuten</t>
  </si>
  <si>
    <t xml:space="preserve">Die ID ist über Checkliste, Guide, Audit-Skript und Hardening-Skript identisch. Das Präfix sagt, in welchem Bereich der Prüfpunkt sitzt — nicht zwingend, in welcher Portal-Richtlinie: APH und IMP stehen zum Beispiel beide in der Anti-Phishing-Richtlinie, sind aber lizenzrechtlich getrennt.</t>
  </si>
  <si>
    <t xml:space="preserve">Kürzel</t>
  </si>
  <si>
    <t xml:space="preserve">Bereich</t>
  </si>
  <si>
    <t xml:space="preserve">Was dahintersteckt</t>
  </si>
  <si>
    <t xml:space="preserve">PRE</t>
  </si>
  <si>
    <t xml:space="preserve">Preset Security Policies und Governance  (5)</t>
  </si>
  <si>
    <t xml:space="preserve">Voreingestellte Sicherheitsrichtlinien, Praezedenz, Configuration Analyzer</t>
  </si>
  <si>
    <t xml:space="preserve">ASI</t>
  </si>
  <si>
    <t xml:space="preserve">Anti-Spam inbound  (12)</t>
  </si>
  <si>
    <t xml:space="preserve">Anti-Spam-Richtlinie, eingehend</t>
  </si>
  <si>
    <t xml:space="preserve">ASF</t>
  </si>
  <si>
    <t xml:space="preserve">Advanced Spam Filter  (5)</t>
  </si>
  <si>
    <t xml:space="preserve">Die ASF-Schalter innerhalb der Anti-Spam-Richtlinie</t>
  </si>
  <si>
    <t xml:space="preserve">CF</t>
  </si>
  <si>
    <t xml:space="preserve">Connection Filter  (3)</t>
  </si>
  <si>
    <t xml:space="preserve">Verbindungsfilterrichtlinie - liegt als eigene Zeile in der Liste der Anti-Spam-Richtlinien</t>
  </si>
  <si>
    <t xml:space="preserve">ASO</t>
  </si>
  <si>
    <t xml:space="preserve">Anti-Spam outbound  (8)</t>
  </si>
  <si>
    <t xml:space="preserve">Ausgehende Anti-Spam-Richtlinie plus Weiterleitungswege</t>
  </si>
  <si>
    <t xml:space="preserve">APH</t>
  </si>
  <si>
    <t xml:space="preserve">Anti-Phishing (EOP-Teil)  (8)</t>
  </si>
  <si>
    <t xml:space="preserve">Spoof-Intelligence, DMARC-Behandlung, Sicherheitstipps - ohne Defender-Lizenz verfuegbar</t>
  </si>
  <si>
    <t xml:space="preserve">IMP</t>
  </si>
  <si>
    <t xml:space="preserve">Impersonation (Defender-Teil)  (8)</t>
  </si>
  <si>
    <t xml:space="preserve">Identitaetswechselschutz - sitzt in derselben Anti-Phishing-Richtlinie, ist aber lizenzpflichtig</t>
  </si>
  <si>
    <t xml:space="preserve">TABL</t>
  </si>
  <si>
    <t xml:space="preserve">Tenant Allow/Block List  (6)</t>
  </si>
  <si>
    <t xml:space="preserve">Mandanten-Zulassungs-/Sperrliste</t>
  </si>
  <si>
    <t xml:space="preserve">AMW</t>
  </si>
  <si>
    <t xml:space="preserve">Anti-Malware  (5)</t>
  </si>
  <si>
    <t xml:space="preserve">Anti-Malware-Richtlinie und Anlagenfilter</t>
  </si>
  <si>
    <t xml:space="preserve">SA</t>
  </si>
  <si>
    <t xml:space="preserve">Safe Attachments  (5)</t>
  </si>
  <si>
    <t xml:space="preserve">Sichere Anlagen (Defender)</t>
  </si>
  <si>
    <t xml:space="preserve">SL</t>
  </si>
  <si>
    <t xml:space="preserve">Safe Links  (7)</t>
  </si>
  <si>
    <t xml:space="preserve">Sichere Links (Defender)</t>
  </si>
  <si>
    <t xml:space="preserve">QUA</t>
  </si>
  <si>
    <t xml:space="preserve">Quarantaene-Richtlinien  (4)</t>
  </si>
  <si>
    <t xml:space="preserve">Zugriffsrechte und Benachrichtigungen fuer die Quarantaene</t>
  </si>
  <si>
    <t xml:space="preserve">ADV</t>
  </si>
  <si>
    <t xml:space="preserve">Advanced Delivery  (3)</t>
  </si>
  <si>
    <t xml:space="preserve">Erweiterte Zustellung: SecOps-Postfach und Phishing-Simulation</t>
  </si>
  <si>
    <t xml:space="preserve">AUTH</t>
  </si>
  <si>
    <t xml:space="preserve">E-Mail-Authentifizierung  (12)</t>
  </si>
  <si>
    <t xml:space="preserve">SPF, DKIM, DMARC, ARC, MTA-STS, DANE - ueberwiegend im oeffentlichen DNS</t>
  </si>
  <si>
    <t xml:space="preserve">EF</t>
  </si>
  <si>
    <t xml:space="preserve">Enhanced Filtering  (2)</t>
  </si>
  <si>
    <t xml:space="preserve">Erweiterte Filterung am Inbound-Connector (Skip Listing)</t>
  </si>
  <si>
    <t xml:space="preserve">EXT</t>
  </si>
  <si>
    <t xml:space="preserve">Externe Kennzeichnung  (3)</t>
  </si>
  <si>
    <t xml:space="preserve">External-Tag, First-Contact-Tipp, Banner per Transportregel</t>
  </si>
  <si>
    <t xml:space="preserve">REP</t>
  </si>
  <si>
    <t xml:space="preserve">Reporting und Alerting  (4)</t>
  </si>
  <si>
    <t xml:space="preserve">Berichte, Warnungsrichtlinien, Meldeweg fuer Nutzer</t>
  </si>
  <si>
    <t xml:space="preserve">HYB</t>
  </si>
  <si>
    <t xml:space="preserve">Hybrid und On-Premises  (10)</t>
  </si>
  <si>
    <t xml:space="preserve">Exchange Server, Connectors, akzeptierte Domaenen, Legacy-Protokolle</t>
  </si>
  <si>
    <t xml:space="preserve">OPS</t>
  </si>
  <si>
    <t xml:space="preserve">Betrieb und Voraussetzungen  (4)</t>
  </si>
  <si>
    <t xml:space="preserve">Rollen, PowerShell-Arbeitsplatz, Baseline, Nachkontrolle</t>
  </si>
  <si>
    <t xml:space="preserve">TEAMS</t>
  </si>
  <si>
    <t xml:space="preserve">Microsoft Teams Protection  (1)</t>
  </si>
  <si>
    <t xml:space="preserve">ZAP fuer Teams-Nachrichten</t>
  </si>
  <si>
    <t xml:space="preserve">VER</t>
  </si>
  <si>
    <t xml:space="preserve">Wirksamkeitsnachweis  (3)</t>
  </si>
  <si>
    <t xml:space="preserve">Belegen, dass der Schutz greift - Quarantaene, Header, Explorer</t>
  </si>
  <si>
    <t xml:space="preserve">GOV</t>
  </si>
  <si>
    <t xml:space="preserve">Governance und Datenschutz  (1)</t>
  </si>
  <si>
    <t xml:space="preserve">DSGVO und Mitbestimmung rund um Quarantaene-Einsicht</t>
  </si>
  <si>
    <t xml:space="preserve">P2</t>
  </si>
  <si>
    <t xml:space="preserve">Defender Plan 2  (1)</t>
  </si>
  <si>
    <t xml:space="preserve">Nur mit MDO P2: automatisierte Untersuchung (AIR)</t>
  </si>
  <si>
    <t xml:space="preserve">Zu den Links in der Checkliste</t>
  </si>
  <si>
    <t xml:space="preserve">Spalte „Fundort" beschreibt den Klickpfad, „Portal öffnen" springt direkt auf die Seite, „Microsoft Learn" auf den Abschnitt, der die Einstellung beschreibt. Der Pfad „Bedrohungsrichtlinien" liegt im Defender-Portal unter E-Mail &amp; Zusammenarbeit &gt; Richtlinien &amp; Regeln. Sämtliche Defender-Deep-Links stammen aus der Microsoft-Dokumentation. Nicht von Microsoft dokumentiert und aus der Praxis übernommen sind die Exchange-Admin-Center-Links von ASO-07, ASO-08, HYB-06, HYB-07, HYB-10 — falls einer davon ins Leere führt, hilft der Klickpfad daneben.</t>
  </si>
</sst>
</file>

<file path=xl/styles.xml><?xml version="1.0" encoding="utf-8"?>
<styleSheet xmlns="http://schemas.openxmlformats.org/spreadsheetml/2006/main">
  <numFmts count="3">
    <numFmt numFmtId="164" formatCode="General"/>
    <numFmt numFmtId="165" formatCode="General"/>
    <numFmt numFmtId="166" formatCode="0.0%"/>
  </numFmts>
  <fonts count="25">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b val="true"/>
      <sz val="14"/>
      <color rgb="FF1F3864"/>
      <name val="Arial"/>
      <family val="0"/>
      <charset val="1"/>
    </font>
    <font>
      <i val="true"/>
      <sz val="10"/>
      <color rgb="FF595959"/>
      <name val="Arial"/>
      <family val="0"/>
      <charset val="1"/>
    </font>
    <font>
      <b val="true"/>
      <sz val="12"/>
      <color rgb="FF1F3864"/>
      <name val="Arial"/>
      <family val="0"/>
      <charset val="1"/>
    </font>
    <font>
      <b val="true"/>
      <sz val="11"/>
      <color rgb="FF000000"/>
      <name val="Arial"/>
      <family val="0"/>
      <charset val="1"/>
    </font>
    <font>
      <sz val="11"/>
      <color rgb="FF000000"/>
      <name val="Arial"/>
      <family val="0"/>
      <charset val="1"/>
    </font>
    <font>
      <b val="true"/>
      <sz val="10"/>
      <color rgb="FFFFFFFF"/>
      <name val="Arial"/>
      <family val="0"/>
      <charset val="1"/>
    </font>
    <font>
      <i val="true"/>
      <sz val="9"/>
      <color rgb="FF7F7F7F"/>
      <name val="Arial"/>
      <family val="0"/>
      <charset val="1"/>
    </font>
    <font>
      <b val="true"/>
      <sz val="11"/>
      <color rgb="FF1F3864"/>
      <name val="Arial"/>
      <family val="0"/>
      <charset val="1"/>
    </font>
    <font>
      <b val="true"/>
      <sz val="9"/>
      <name val="Arial"/>
      <family val="0"/>
      <charset val="1"/>
    </font>
    <font>
      <sz val="9"/>
      <name val="Arial"/>
      <family val="0"/>
      <charset val="1"/>
    </font>
    <font>
      <sz val="8"/>
      <name val="Consolas"/>
      <family val="0"/>
      <charset val="1"/>
    </font>
    <font>
      <u val="single"/>
      <sz val="9"/>
      <color rgb="FF0563C1"/>
      <name val="Arial"/>
      <family val="0"/>
      <charset val="1"/>
    </font>
    <font>
      <sz val="10"/>
      <name val="Arial"/>
      <family val="2"/>
    </font>
    <font>
      <b val="true"/>
      <sz val="16"/>
      <color rgb="FF1F3864"/>
      <name val="Arial"/>
      <family val="0"/>
      <charset val="1"/>
    </font>
    <font>
      <sz val="9"/>
      <color rgb="FF595959"/>
      <name val="Arial"/>
      <family val="0"/>
      <charset val="1"/>
    </font>
    <font>
      <b val="true"/>
      <sz val="11"/>
      <color rgb="FFFFFFFF"/>
      <name val="Arial"/>
      <family val="0"/>
      <charset val="1"/>
    </font>
    <font>
      <sz val="11"/>
      <name val="Arial"/>
      <family val="0"/>
      <charset val="1"/>
    </font>
    <font>
      <b val="true"/>
      <sz val="11"/>
      <name val="Arial"/>
      <family val="0"/>
      <charset val="1"/>
    </font>
    <font>
      <sz val="10"/>
      <name val="Arial"/>
      <family val="0"/>
      <charset val="1"/>
    </font>
    <font>
      <sz val="10"/>
      <color rgb="FF000000"/>
      <name val="Arial"/>
      <family val="0"/>
      <charset val="1"/>
    </font>
  </fonts>
  <fills count="5">
    <fill>
      <patternFill patternType="none"/>
    </fill>
    <fill>
      <patternFill patternType="gray125"/>
    </fill>
    <fill>
      <patternFill patternType="solid">
        <fgColor rgb="FFFFF2CC"/>
        <bgColor rgb="FFFFEB9C"/>
      </patternFill>
    </fill>
    <fill>
      <patternFill patternType="solid">
        <fgColor rgb="FF1F3864"/>
        <bgColor rgb="FF333333"/>
      </patternFill>
    </fill>
    <fill>
      <patternFill patternType="solid">
        <fgColor rgb="FFD9E2F3"/>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general" vertical="center" textRotation="0" wrapText="true" indent="0" shrinkToFit="false"/>
      <protection locked="true" hidden="false"/>
    </xf>
    <xf numFmtId="164" fontId="23" fillId="0" borderId="1" xfId="0" applyFont="true" applyBorder="true" applyAlignment="true" applyProtection="false">
      <alignment horizontal="general" vertical="center" textRotation="0" wrapText="true" indent="0" shrinkToFit="false"/>
      <protection locked="true" hidden="false"/>
    </xf>
    <xf numFmtId="165" fontId="23"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7F7F7F"/>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0563C1"/>
          <bgColor rgb="FF000000"/>
        </patternFill>
      </fill>
    </dxf>
    <dxf>
      <font>
        <name val="Arial"/>
        <charset val="1"/>
        <family val="0"/>
        <b val="1"/>
        <color rgb="FF9C0006"/>
        <sz val="9"/>
      </font>
      <fill>
        <patternFill>
          <bgColor rgb="FFFFC7CE"/>
        </patternFill>
      </fill>
    </dxf>
    <dxf>
      <font>
        <name val="Arial"/>
        <charset val="1"/>
        <family val="0"/>
        <color rgb="FF9C6500"/>
        <sz val="9"/>
      </font>
      <fill>
        <patternFill>
          <bgColor rgb="FFFFEB9C"/>
        </patternFill>
      </fill>
    </dxf>
    <dxf>
      <font>
        <name val="Arial"/>
        <charset val="1"/>
        <family val="0"/>
        <color rgb="FF006100"/>
        <sz val="9"/>
      </font>
      <fill>
        <patternFill>
          <bgColor rgb="FFC6EFCE"/>
        </patternFill>
      </fill>
    </dxf>
    <dxf>
      <font>
        <name val="Arial"/>
        <charset val="1"/>
        <family val="0"/>
        <color rgb="FF1F3864"/>
        <sz val="9"/>
      </font>
      <fill>
        <patternFill>
          <bgColor rgb="FFDDEBF7"/>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FBFBF"/>
      <rgbColor rgb="FF7F7F7F"/>
      <rgbColor rgb="FF9999FF"/>
      <rgbColor rgb="FF993366"/>
      <rgbColor rgb="FFFFF2CC"/>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ecurity.microsoft.com/presetSecurityPolicies" TargetMode="External"/><Relationship Id="rId3" Type="http://schemas.openxmlformats.org/officeDocument/2006/relationships/hyperlink" Target="https://learn.microsoft.com/defender-office-365/mdo-deployment-guide" TargetMode="External"/><Relationship Id="rId4" Type="http://schemas.openxmlformats.org/officeDocument/2006/relationships/hyperlink" Target="https://security.microsoft.com/presetSecurityPolicies" TargetMode="External"/><Relationship Id="rId5" Type="http://schemas.openxmlformats.org/officeDocument/2006/relationships/hyperlink" Target="https://learn.microsoft.com/defender-office-365/preset-security-policies" TargetMode="External"/><Relationship Id="rId6" Type="http://schemas.openxmlformats.org/officeDocument/2006/relationships/hyperlink" Target="https://security.microsoft.com/presetSecurityPolicies" TargetMode="External"/><Relationship Id="rId7" Type="http://schemas.openxmlformats.org/officeDocument/2006/relationships/hyperlink" Target="https://learn.microsoft.com/defender-office-365/preset-security-policies" TargetMode="External"/><Relationship Id="rId8" Type="http://schemas.openxmlformats.org/officeDocument/2006/relationships/hyperlink" Target="https://security.microsoft.com/configurationAnalyzer" TargetMode="External"/><Relationship Id="rId9" Type="http://schemas.openxmlformats.org/officeDocument/2006/relationships/hyperlink" Target="https://learn.microsoft.com/defender-office-365/configuration-analyzer-for-security-policies" TargetMode="External"/><Relationship Id="rId10" Type="http://schemas.openxmlformats.org/officeDocument/2006/relationships/hyperlink" Target="https://security.microsoft.com/antispam" TargetMode="External"/><Relationship Id="rId11" Type="http://schemas.openxmlformats.org/officeDocument/2006/relationships/hyperlink" Target="https://learn.microsoft.com/defender-office-365/anti-spam-policies-configure" TargetMode="External"/><Relationship Id="rId12" Type="http://schemas.openxmlformats.org/officeDocument/2006/relationships/hyperlink" Target="https://security.microsoft.com/antispam" TargetMode="External"/><Relationship Id="rId13" Type="http://schemas.openxmlformats.org/officeDocument/2006/relationships/hyperlink" Target="https://learn.microsoft.com/defender-office-365/anti-spam-protection-about" TargetMode="External"/><Relationship Id="rId14" Type="http://schemas.openxmlformats.org/officeDocument/2006/relationships/hyperlink" Target="https://security.microsoft.com/antispam" TargetMode="External"/><Relationship Id="rId15" Type="http://schemas.openxmlformats.org/officeDocument/2006/relationships/hyperlink" Target="https://learn.microsoft.com/defender-office-365/anti-spam-protection-about" TargetMode="External"/><Relationship Id="rId16" Type="http://schemas.openxmlformats.org/officeDocument/2006/relationships/hyperlink" Target="https://security.microsoft.com/antispam" TargetMode="External"/><Relationship Id="rId17" Type="http://schemas.openxmlformats.org/officeDocument/2006/relationships/hyperlink" Target="https://learn.microsoft.com/defender-office-365/anti-spam-protection-about" TargetMode="External"/><Relationship Id="rId18" Type="http://schemas.openxmlformats.org/officeDocument/2006/relationships/hyperlink" Target="https://security.microsoft.com/antispam" TargetMode="External"/><Relationship Id="rId19" Type="http://schemas.openxmlformats.org/officeDocument/2006/relationships/hyperlink" Target="https://learn.microsoft.com/defender-office-365/anti-spam-protection-about" TargetMode="External"/><Relationship Id="rId20" Type="http://schemas.openxmlformats.org/officeDocument/2006/relationships/hyperlink" Target="https://security.microsoft.com/antispam" TargetMode="External"/><Relationship Id="rId21" Type="http://schemas.openxmlformats.org/officeDocument/2006/relationships/hyperlink" Target="https://learn.microsoft.com/defender-office-365/anti-spam-protection-about" TargetMode="External"/><Relationship Id="rId22" Type="http://schemas.openxmlformats.org/officeDocument/2006/relationships/hyperlink" Target="https://security.microsoft.com/antispam" TargetMode="External"/><Relationship Id="rId23" Type="http://schemas.openxmlformats.org/officeDocument/2006/relationships/hyperlink" Target="https://learn.microsoft.com/defender-office-365/anti-spam-protection-about" TargetMode="External"/><Relationship Id="rId24" Type="http://schemas.openxmlformats.org/officeDocument/2006/relationships/hyperlink" Target="https://security.microsoft.com/antispam" TargetMode="External"/><Relationship Id="rId25" Type="http://schemas.openxmlformats.org/officeDocument/2006/relationships/hyperlink" Target="https://learn.microsoft.com/defender-office-365/recommended-settings-for-eop-and-office365" TargetMode="External"/><Relationship Id="rId26" Type="http://schemas.openxmlformats.org/officeDocument/2006/relationships/hyperlink" Target="https://security.microsoft.com/antispam" TargetMode="External"/><Relationship Id="rId27" Type="http://schemas.openxmlformats.org/officeDocument/2006/relationships/hyperlink" Target="https://learn.microsoft.com/defender-office-365/zero-hour-auto-purge" TargetMode="External"/><Relationship Id="rId28" Type="http://schemas.openxmlformats.org/officeDocument/2006/relationships/hyperlink" Target="https://security.microsoft.com/antispam" TargetMode="External"/><Relationship Id="rId29" Type="http://schemas.openxmlformats.org/officeDocument/2006/relationships/hyperlink" Target="https://learn.microsoft.com/defender-office-365/quarantine-about" TargetMode="External"/><Relationship Id="rId30" Type="http://schemas.openxmlformats.org/officeDocument/2006/relationships/hyperlink" Target="https://security.microsoft.com/antispam" TargetMode="External"/><Relationship Id="rId31" Type="http://schemas.openxmlformats.org/officeDocument/2006/relationships/hyperlink" Target="https://learn.microsoft.com/defender-office-365/anti-spam-protection-about" TargetMode="External"/><Relationship Id="rId32" Type="http://schemas.openxmlformats.org/officeDocument/2006/relationships/hyperlink" Target="https://security.microsoft.com/antispam" TargetMode="External"/><Relationship Id="rId33" Type="http://schemas.openxmlformats.org/officeDocument/2006/relationships/hyperlink" Target="https://learn.microsoft.com/defender-office-365/anti-spam-protection-about" TargetMode="External"/><Relationship Id="rId34" Type="http://schemas.openxmlformats.org/officeDocument/2006/relationships/hyperlink" Target="https://security.microsoft.com/antispam" TargetMode="External"/><Relationship Id="rId35" Type="http://schemas.openxmlformats.org/officeDocument/2006/relationships/hyperlink" Target="https://learn.microsoft.com/defender-office-365/anti-spam-protection-about" TargetMode="External"/><Relationship Id="rId36" Type="http://schemas.openxmlformats.org/officeDocument/2006/relationships/hyperlink" Target="https://security.microsoft.com/antispam" TargetMode="External"/><Relationship Id="rId37" Type="http://schemas.openxmlformats.org/officeDocument/2006/relationships/hyperlink" Target="https://learn.microsoft.com/defender-office-365/anti-spam-policies-asf-settings-about" TargetMode="External"/><Relationship Id="rId38" Type="http://schemas.openxmlformats.org/officeDocument/2006/relationships/hyperlink" Target="https://security.microsoft.com/antispam" TargetMode="External"/><Relationship Id="rId39" Type="http://schemas.openxmlformats.org/officeDocument/2006/relationships/hyperlink" Target="https://learn.microsoft.com/defender-office-365/anti-spam-policies-asf-settings-about" TargetMode="External"/><Relationship Id="rId40" Type="http://schemas.openxmlformats.org/officeDocument/2006/relationships/hyperlink" Target="https://security.microsoft.com/antispam" TargetMode="External"/><Relationship Id="rId41" Type="http://schemas.openxmlformats.org/officeDocument/2006/relationships/hyperlink" Target="https://learn.microsoft.com/defender-office-365/anti-spam-policies-asf-settings-about" TargetMode="External"/><Relationship Id="rId42" Type="http://schemas.openxmlformats.org/officeDocument/2006/relationships/hyperlink" Target="https://security.microsoft.com/antispam" TargetMode="External"/><Relationship Id="rId43" Type="http://schemas.openxmlformats.org/officeDocument/2006/relationships/hyperlink" Target="https://learn.microsoft.com/defender-office-365/anti-spam-policies-asf-settings-about" TargetMode="External"/><Relationship Id="rId44" Type="http://schemas.openxmlformats.org/officeDocument/2006/relationships/hyperlink" Target="https://security.microsoft.com/antispam" TargetMode="External"/><Relationship Id="rId45" Type="http://schemas.openxmlformats.org/officeDocument/2006/relationships/hyperlink" Target="https://learn.microsoft.com/defender-office-365/anti-spam-policies-asf-settings-about" TargetMode="External"/><Relationship Id="rId46" Type="http://schemas.openxmlformats.org/officeDocument/2006/relationships/hyperlink" Target="https://security.microsoft.com/antispam" TargetMode="External"/><Relationship Id="rId47" Type="http://schemas.openxmlformats.org/officeDocument/2006/relationships/hyperlink" Target="https://learn.microsoft.com/defender-office-365/connection-filter-policies-configure" TargetMode="External"/><Relationship Id="rId48" Type="http://schemas.openxmlformats.org/officeDocument/2006/relationships/hyperlink" Target="https://security.microsoft.com/antispam" TargetMode="External"/><Relationship Id="rId49" Type="http://schemas.openxmlformats.org/officeDocument/2006/relationships/hyperlink" Target="https://learn.microsoft.com/defender-office-365/connection-filter-policies-configure" TargetMode="External"/><Relationship Id="rId50" Type="http://schemas.openxmlformats.org/officeDocument/2006/relationships/hyperlink" Target="https://security.microsoft.com/antispam" TargetMode="External"/><Relationship Id="rId51" Type="http://schemas.openxmlformats.org/officeDocument/2006/relationships/hyperlink" Target="https://learn.microsoft.com/defender-office-365/connection-filter-policies-configure" TargetMode="External"/><Relationship Id="rId52" Type="http://schemas.openxmlformats.org/officeDocument/2006/relationships/hyperlink" Target="https://security.microsoft.com/antispam" TargetMode="External"/><Relationship Id="rId53" Type="http://schemas.openxmlformats.org/officeDocument/2006/relationships/hyperlink" Target="https://learn.microsoft.com/defender-office-365/outbound-spam-policies-configure" TargetMode="External"/><Relationship Id="rId54" Type="http://schemas.openxmlformats.org/officeDocument/2006/relationships/hyperlink" Target="https://security.microsoft.com/antispam" TargetMode="External"/><Relationship Id="rId55" Type="http://schemas.openxmlformats.org/officeDocument/2006/relationships/hyperlink" Target="https://learn.microsoft.com/defender-office-365/outbound-spam-policies-configure" TargetMode="External"/><Relationship Id="rId56" Type="http://schemas.openxmlformats.org/officeDocument/2006/relationships/hyperlink" Target="https://security.microsoft.com/antispam" TargetMode="External"/><Relationship Id="rId57" Type="http://schemas.openxmlformats.org/officeDocument/2006/relationships/hyperlink" Target="https://learn.microsoft.com/defender-office-365/recommended-settings-for-eop-and-office365" TargetMode="External"/><Relationship Id="rId58" Type="http://schemas.openxmlformats.org/officeDocument/2006/relationships/hyperlink" Target="https://security.microsoft.com/antispam" TargetMode="External"/><Relationship Id="rId59" Type="http://schemas.openxmlformats.org/officeDocument/2006/relationships/hyperlink" Target="https://learn.microsoft.com/defender-office-365/outbound-spam-policies-external-email-forwarding" TargetMode="External"/><Relationship Id="rId60" Type="http://schemas.openxmlformats.org/officeDocument/2006/relationships/hyperlink" Target="https://security.microsoft.com/restrictedusers" TargetMode="External"/><Relationship Id="rId61" Type="http://schemas.openxmlformats.org/officeDocument/2006/relationships/hyperlink" Target="https://learn.microsoft.com/defender-office-365/outbound-spam-policies-configure" TargetMode="External"/><Relationship Id="rId62" Type="http://schemas.openxmlformats.org/officeDocument/2006/relationships/hyperlink" Target="https://admin.exchange.microsoft.com/" TargetMode="External"/><Relationship Id="rId63" Type="http://schemas.openxmlformats.org/officeDocument/2006/relationships/hyperlink" Target="https://learn.microsoft.com/defender-office-365/outbound-spam-sending-limits-troubleshoot" TargetMode="External"/><Relationship Id="rId64" Type="http://schemas.openxmlformats.org/officeDocument/2006/relationships/hyperlink" Target="https://security.microsoft.com/antiphishing" TargetMode="External"/><Relationship Id="rId65" Type="http://schemas.openxmlformats.org/officeDocument/2006/relationships/hyperlink" Target="https://learn.microsoft.com/defender-office-365/anti-phishing-policies-about" TargetMode="External"/><Relationship Id="rId66" Type="http://schemas.openxmlformats.org/officeDocument/2006/relationships/hyperlink" Target="https://security.microsoft.com/antiphishing" TargetMode="External"/><Relationship Id="rId67" Type="http://schemas.openxmlformats.org/officeDocument/2006/relationships/hyperlink" Target="https://learn.microsoft.com/defender-office-365/recommended-settings-for-eop-and-office365" TargetMode="External"/><Relationship Id="rId68" Type="http://schemas.openxmlformats.org/officeDocument/2006/relationships/hyperlink" Target="https://security.microsoft.com/antiphishing" TargetMode="External"/><Relationship Id="rId69" Type="http://schemas.openxmlformats.org/officeDocument/2006/relationships/hyperlink" Target="https://learn.microsoft.com/defender-office-365/anti-phishing-policies-about" TargetMode="External"/><Relationship Id="rId70" Type="http://schemas.openxmlformats.org/officeDocument/2006/relationships/hyperlink" Target="https://security.microsoft.com/antiphishing" TargetMode="External"/><Relationship Id="rId71" Type="http://schemas.openxmlformats.org/officeDocument/2006/relationships/hyperlink" Target="https://learn.microsoft.com/defender-office-365/anti-phishing-policies-about" TargetMode="External"/><Relationship Id="rId72" Type="http://schemas.openxmlformats.org/officeDocument/2006/relationships/hyperlink" Target="https://security.microsoft.com/antiphishing" TargetMode="External"/><Relationship Id="rId73" Type="http://schemas.openxmlformats.org/officeDocument/2006/relationships/hyperlink" Target="https://learn.microsoft.com/defender-office-365/anti-phishing-policies-about" TargetMode="External"/><Relationship Id="rId74" Type="http://schemas.openxmlformats.org/officeDocument/2006/relationships/hyperlink" Target="https://security.microsoft.com/antiphishing" TargetMode="External"/><Relationship Id="rId75" Type="http://schemas.openxmlformats.org/officeDocument/2006/relationships/hyperlink" Target="https://learn.microsoft.com/defender-office-365/anti-phishing-policies-about" TargetMode="External"/><Relationship Id="rId76" Type="http://schemas.openxmlformats.org/officeDocument/2006/relationships/hyperlink" Target="https://security.microsoft.com/antiphishing" TargetMode="External"/><Relationship Id="rId77" Type="http://schemas.openxmlformats.org/officeDocument/2006/relationships/hyperlink" Target="https://learn.microsoft.com/defender-office-365/anti-phishing-policies-about" TargetMode="External"/><Relationship Id="rId78" Type="http://schemas.openxmlformats.org/officeDocument/2006/relationships/hyperlink" Target="https://security.microsoft.com/antiphishing" TargetMode="External"/><Relationship Id="rId79" Type="http://schemas.openxmlformats.org/officeDocument/2006/relationships/hyperlink" Target="https://learn.microsoft.com/defender-office-365/anti-phishing-policies-about" TargetMode="External"/><Relationship Id="rId80" Type="http://schemas.openxmlformats.org/officeDocument/2006/relationships/hyperlink" Target="https://security.microsoft.com/antiphishing" TargetMode="External"/><Relationship Id="rId81" Type="http://schemas.openxmlformats.org/officeDocument/2006/relationships/hyperlink" Target="https://learn.microsoft.com/defender-office-365/anti-phishing-policies-about" TargetMode="External"/><Relationship Id="rId82" Type="http://schemas.openxmlformats.org/officeDocument/2006/relationships/hyperlink" Target="https://security.microsoft.com/antiphishing" TargetMode="External"/><Relationship Id="rId83" Type="http://schemas.openxmlformats.org/officeDocument/2006/relationships/hyperlink" Target="https://learn.microsoft.com/defender-office-365/anti-phishing-policies-about" TargetMode="External"/><Relationship Id="rId84" Type="http://schemas.openxmlformats.org/officeDocument/2006/relationships/hyperlink" Target="https://security.microsoft.com/antiphishing" TargetMode="External"/><Relationship Id="rId85" Type="http://schemas.openxmlformats.org/officeDocument/2006/relationships/hyperlink" Target="https://learn.microsoft.com/defender-office-365/anti-phishing-policies-about" TargetMode="External"/><Relationship Id="rId86" Type="http://schemas.openxmlformats.org/officeDocument/2006/relationships/hyperlink" Target="https://security.microsoft.com/antiphishing" TargetMode="External"/><Relationship Id="rId87" Type="http://schemas.openxmlformats.org/officeDocument/2006/relationships/hyperlink" Target="https://learn.microsoft.com/defender-office-365/recommended-settings-for-eop-and-office365" TargetMode="External"/><Relationship Id="rId88" Type="http://schemas.openxmlformats.org/officeDocument/2006/relationships/hyperlink" Target="https://security.microsoft.com/antiphishing" TargetMode="External"/><Relationship Id="rId89" Type="http://schemas.openxmlformats.org/officeDocument/2006/relationships/hyperlink" Target="https://learn.microsoft.com/defender-office-365/anti-phishing-policies-about" TargetMode="External"/><Relationship Id="rId90" Type="http://schemas.openxmlformats.org/officeDocument/2006/relationships/hyperlink" Target="https://security.microsoft.com/antiphishing" TargetMode="External"/><Relationship Id="rId91" Type="http://schemas.openxmlformats.org/officeDocument/2006/relationships/hyperlink" Target="https://learn.microsoft.com/defender-office-365/anti-phishing-policies-about" TargetMode="External"/><Relationship Id="rId92" Type="http://schemas.openxmlformats.org/officeDocument/2006/relationships/hyperlink" Target="https://security.microsoft.com/antiphishing" TargetMode="External"/><Relationship Id="rId93" Type="http://schemas.openxmlformats.org/officeDocument/2006/relationships/hyperlink" Target="https://learn.microsoft.com/defender-office-365/anti-phishing-policies-about" TargetMode="External"/><Relationship Id="rId94" Type="http://schemas.openxmlformats.org/officeDocument/2006/relationships/hyperlink" Target="https://security.microsoft.com/securitysettings/priorityAccountProtection" TargetMode="External"/><Relationship Id="rId95" Type="http://schemas.openxmlformats.org/officeDocument/2006/relationships/hyperlink" Target="https://learn.microsoft.com/defender-office-365/priority-accounts-turn-on-priority-account-protection" TargetMode="External"/><Relationship Id="rId96" Type="http://schemas.openxmlformats.org/officeDocument/2006/relationships/hyperlink" Target="https://security.microsoft.com/tenantAllowBlockList" TargetMode="External"/><Relationship Id="rId97" Type="http://schemas.openxmlformats.org/officeDocument/2006/relationships/hyperlink" Target="https://learn.microsoft.com/defender-office-365/tenant-allow-block-list-about" TargetMode="External"/><Relationship Id="rId98" Type="http://schemas.openxmlformats.org/officeDocument/2006/relationships/hyperlink" Target="https://security.microsoft.com/tenantAllowBlockList" TargetMode="External"/><Relationship Id="rId99" Type="http://schemas.openxmlformats.org/officeDocument/2006/relationships/hyperlink" Target="https://learn.microsoft.com/defender-office-365/tenant-allow-block-list-email-spoof-configure" TargetMode="External"/><Relationship Id="rId100" Type="http://schemas.openxmlformats.org/officeDocument/2006/relationships/hyperlink" Target="https://security.microsoft.com/tenantAllowBlockList?viewid=SpoofItem" TargetMode="External"/><Relationship Id="rId101" Type="http://schemas.openxmlformats.org/officeDocument/2006/relationships/hyperlink" Target="https://learn.microsoft.com/defender-office-365/tenant-allow-block-list-email-spoof-configure" TargetMode="External"/><Relationship Id="rId102" Type="http://schemas.openxmlformats.org/officeDocument/2006/relationships/hyperlink" Target="https://security.microsoft.com/tenantAllowBlockList" TargetMode="External"/><Relationship Id="rId103" Type="http://schemas.openxmlformats.org/officeDocument/2006/relationships/hyperlink" Target="https://learn.microsoft.com/defender-office-365/tenant-allow-block-list-urls-configure" TargetMode="External"/><Relationship Id="rId104" Type="http://schemas.openxmlformats.org/officeDocument/2006/relationships/hyperlink" Target="https://security.microsoft.com/tenantAllowBlockList" TargetMode="External"/><Relationship Id="rId105" Type="http://schemas.openxmlformats.org/officeDocument/2006/relationships/hyperlink" Target="https://learn.microsoft.com/defender-office-365/tenant-allow-block-list-files-configure" TargetMode="External"/><Relationship Id="rId106" Type="http://schemas.openxmlformats.org/officeDocument/2006/relationships/hyperlink" Target="https://security.microsoft.com/tenantAllowBlockList" TargetMode="External"/><Relationship Id="rId107" Type="http://schemas.openxmlformats.org/officeDocument/2006/relationships/hyperlink" Target="https://learn.microsoft.com/defender-office-365/tenant-allow-block-list-ip-addresses-configure" TargetMode="External"/><Relationship Id="rId108" Type="http://schemas.openxmlformats.org/officeDocument/2006/relationships/hyperlink" Target="https://security.microsoft.com/antimalwarev2" TargetMode="External"/><Relationship Id="rId109" Type="http://schemas.openxmlformats.org/officeDocument/2006/relationships/hyperlink" Target="https://learn.microsoft.com/defender-office-365/anti-malware-protection-about" TargetMode="External"/><Relationship Id="rId110" Type="http://schemas.openxmlformats.org/officeDocument/2006/relationships/hyperlink" Target="https://security.microsoft.com/antimalwarev2" TargetMode="External"/><Relationship Id="rId111" Type="http://schemas.openxmlformats.org/officeDocument/2006/relationships/hyperlink" Target="https://learn.microsoft.com/defender-office-365/anti-malware-protection-about" TargetMode="External"/><Relationship Id="rId112" Type="http://schemas.openxmlformats.org/officeDocument/2006/relationships/hyperlink" Target="https://security.microsoft.com/antimalwarev2" TargetMode="External"/><Relationship Id="rId113" Type="http://schemas.openxmlformats.org/officeDocument/2006/relationships/hyperlink" Target="https://learn.microsoft.com/defender-office-365/anti-malware-protection-about" TargetMode="External"/><Relationship Id="rId114" Type="http://schemas.openxmlformats.org/officeDocument/2006/relationships/hyperlink" Target="https://security.microsoft.com/antimalwarev2" TargetMode="External"/><Relationship Id="rId115" Type="http://schemas.openxmlformats.org/officeDocument/2006/relationships/hyperlink" Target="https://learn.microsoft.com/defender-office-365/anti-malware-protection-about" TargetMode="External"/><Relationship Id="rId116" Type="http://schemas.openxmlformats.org/officeDocument/2006/relationships/hyperlink" Target="https://security.microsoft.com/antimalwarev2" TargetMode="External"/><Relationship Id="rId117" Type="http://schemas.openxmlformats.org/officeDocument/2006/relationships/hyperlink" Target="https://learn.microsoft.com/defender-office-365/anti-malware-protection-about" TargetMode="External"/><Relationship Id="rId118" Type="http://schemas.openxmlformats.org/officeDocument/2006/relationships/hyperlink" Target="https://security.microsoft.com/safeattachmentv2" TargetMode="External"/><Relationship Id="rId119" Type="http://schemas.openxmlformats.org/officeDocument/2006/relationships/hyperlink" Target="https://learn.microsoft.com/defender-office-365/safe-attachments-about" TargetMode="External"/><Relationship Id="rId120" Type="http://schemas.openxmlformats.org/officeDocument/2006/relationships/hyperlink" Target="https://security.microsoft.com/safeattachmentv2" TargetMode="External"/><Relationship Id="rId121" Type="http://schemas.openxmlformats.org/officeDocument/2006/relationships/hyperlink" Target="https://learn.microsoft.com/defender-office-365/safe-attachments-about" TargetMode="External"/><Relationship Id="rId122" Type="http://schemas.openxmlformats.org/officeDocument/2006/relationships/hyperlink" Target="https://security.microsoft.com/safeattachmentv2" TargetMode="External"/><Relationship Id="rId123" Type="http://schemas.openxmlformats.org/officeDocument/2006/relationships/hyperlink" Target="https://learn.microsoft.com/defender-office-365/safe-attachments-for-spo-odfb-teams-configure" TargetMode="External"/><Relationship Id="rId124" Type="http://schemas.openxmlformats.org/officeDocument/2006/relationships/hyperlink" Target="https://security.microsoft.com/safeattachmentv2" TargetMode="External"/><Relationship Id="rId125" Type="http://schemas.openxmlformats.org/officeDocument/2006/relationships/hyperlink" Target="https://learn.microsoft.com/defender-office-365/safe-documents-in-e5-plus-security-about" TargetMode="External"/><Relationship Id="rId126" Type="http://schemas.openxmlformats.org/officeDocument/2006/relationships/hyperlink" Target="https://security.microsoft.com/safeattachmentv2" TargetMode="External"/><Relationship Id="rId127" Type="http://schemas.openxmlformats.org/officeDocument/2006/relationships/hyperlink" Target="https://learn.microsoft.com/defender-office-365/safe-attachments-about" TargetMode="External"/><Relationship Id="rId128" Type="http://schemas.openxmlformats.org/officeDocument/2006/relationships/hyperlink" Target="https://security.microsoft.com/safelinksv2" TargetMode="External"/><Relationship Id="rId129" Type="http://schemas.openxmlformats.org/officeDocument/2006/relationships/hyperlink" Target="https://learn.microsoft.com/defender-office-365/safe-links-about" TargetMode="External"/><Relationship Id="rId130" Type="http://schemas.openxmlformats.org/officeDocument/2006/relationships/hyperlink" Target="https://security.microsoft.com/safelinksv2" TargetMode="External"/><Relationship Id="rId131" Type="http://schemas.openxmlformats.org/officeDocument/2006/relationships/hyperlink" Target="https://learn.microsoft.com/defender-office-365/safe-links-about" TargetMode="External"/><Relationship Id="rId132" Type="http://schemas.openxmlformats.org/officeDocument/2006/relationships/hyperlink" Target="https://security.microsoft.com/safelinksv2" TargetMode="External"/><Relationship Id="rId133" Type="http://schemas.openxmlformats.org/officeDocument/2006/relationships/hyperlink" Target="https://learn.microsoft.com/defender-office-365/safe-links-about" TargetMode="External"/><Relationship Id="rId134" Type="http://schemas.openxmlformats.org/officeDocument/2006/relationships/hyperlink" Target="https://security.microsoft.com/safelinksv2" TargetMode="External"/><Relationship Id="rId135" Type="http://schemas.openxmlformats.org/officeDocument/2006/relationships/hyperlink" Target="https://learn.microsoft.com/defender-office-365/safe-links-about" TargetMode="External"/><Relationship Id="rId136" Type="http://schemas.openxmlformats.org/officeDocument/2006/relationships/hyperlink" Target="https://security.microsoft.com/safelinksv2" TargetMode="External"/><Relationship Id="rId137" Type="http://schemas.openxmlformats.org/officeDocument/2006/relationships/hyperlink" Target="https://learn.microsoft.com/defender-office-365/safe-links-about" TargetMode="External"/><Relationship Id="rId138" Type="http://schemas.openxmlformats.org/officeDocument/2006/relationships/hyperlink" Target="https://security.microsoft.com/safelinksv2" TargetMode="External"/><Relationship Id="rId139" Type="http://schemas.openxmlformats.org/officeDocument/2006/relationships/hyperlink" Target="https://learn.microsoft.com/defender-office-365/safe-links-about" TargetMode="External"/><Relationship Id="rId140" Type="http://schemas.openxmlformats.org/officeDocument/2006/relationships/hyperlink" Target="https://security.microsoft.com/safelinksv2" TargetMode="External"/><Relationship Id="rId141" Type="http://schemas.openxmlformats.org/officeDocument/2006/relationships/hyperlink" Target="https://learn.microsoft.com/defender-office-365/safe-links-about" TargetMode="External"/><Relationship Id="rId142" Type="http://schemas.openxmlformats.org/officeDocument/2006/relationships/hyperlink" Target="https://security.microsoft.com/quarantinePolicies" TargetMode="External"/><Relationship Id="rId143" Type="http://schemas.openxmlformats.org/officeDocument/2006/relationships/hyperlink" Target="https://learn.microsoft.com/defender-office-365/quarantine-policies" TargetMode="External"/><Relationship Id="rId144" Type="http://schemas.openxmlformats.org/officeDocument/2006/relationships/hyperlink" Target="https://security.microsoft.com/quarantinePolicies" TargetMode="External"/><Relationship Id="rId145" Type="http://schemas.openxmlformats.org/officeDocument/2006/relationships/hyperlink" Target="https://learn.microsoft.com/defender-office-365/quarantine-policies" TargetMode="External"/><Relationship Id="rId146" Type="http://schemas.openxmlformats.org/officeDocument/2006/relationships/hyperlink" Target="https://security.microsoft.com/quarantinePolicies" TargetMode="External"/><Relationship Id="rId147" Type="http://schemas.openxmlformats.org/officeDocument/2006/relationships/hyperlink" Target="https://learn.microsoft.com/defender-office-365/quarantine-policies" TargetMode="External"/><Relationship Id="rId148" Type="http://schemas.openxmlformats.org/officeDocument/2006/relationships/hyperlink" Target="https://security.microsoft.com/quarantinePolicies" TargetMode="External"/><Relationship Id="rId149" Type="http://schemas.openxmlformats.org/officeDocument/2006/relationships/hyperlink" Target="https://learn.microsoft.com/defender-office-365/quarantine-policies" TargetMode="External"/><Relationship Id="rId150" Type="http://schemas.openxmlformats.org/officeDocument/2006/relationships/hyperlink" Target="https://security.microsoft.com/advanceddelivery" TargetMode="External"/><Relationship Id="rId151" Type="http://schemas.openxmlformats.org/officeDocument/2006/relationships/hyperlink" Target="https://learn.microsoft.com/defender-office-365/advanced-delivery-policy-configure" TargetMode="External"/><Relationship Id="rId152" Type="http://schemas.openxmlformats.org/officeDocument/2006/relationships/hyperlink" Target="https://security.microsoft.com/advanceddelivery" TargetMode="External"/><Relationship Id="rId153" Type="http://schemas.openxmlformats.org/officeDocument/2006/relationships/hyperlink" Target="https://learn.microsoft.com/defender-office-365/advanced-delivery-policy-configure" TargetMode="External"/><Relationship Id="rId154" Type="http://schemas.openxmlformats.org/officeDocument/2006/relationships/hyperlink" Target="https://admin.exchange.microsoft.com/" TargetMode="External"/><Relationship Id="rId155" Type="http://schemas.openxmlformats.org/officeDocument/2006/relationships/hyperlink" Target="https://learn.microsoft.com/defender-office-365/create-safe-sender-lists-in-office-365" TargetMode="External"/><Relationship Id="rId156" Type="http://schemas.openxmlformats.org/officeDocument/2006/relationships/hyperlink" Target="https://learn.microsoft.com/defender-office-365/email-authentication-spf-configure" TargetMode="External"/><Relationship Id="rId157" Type="http://schemas.openxmlformats.org/officeDocument/2006/relationships/hyperlink" Target="https://learn.microsoft.com/defender-office-365/email-authentication-spf-configure" TargetMode="External"/><Relationship Id="rId158" Type="http://schemas.openxmlformats.org/officeDocument/2006/relationships/hyperlink" Target="https://learn.microsoft.com/defender-office-365/email-authentication-spf-configure" TargetMode="External"/><Relationship Id="rId159" Type="http://schemas.openxmlformats.org/officeDocument/2006/relationships/hyperlink" Target="https://security.microsoft.com/authentication?viewid=DKIM" TargetMode="External"/><Relationship Id="rId160" Type="http://schemas.openxmlformats.org/officeDocument/2006/relationships/hyperlink" Target="https://learn.microsoft.com/defender-office-365/email-authentication-dkim-configure" TargetMode="External"/><Relationship Id="rId161" Type="http://schemas.openxmlformats.org/officeDocument/2006/relationships/hyperlink" Target="https://security.microsoft.com/authentication?viewid=DKIM" TargetMode="External"/><Relationship Id="rId162" Type="http://schemas.openxmlformats.org/officeDocument/2006/relationships/hyperlink" Target="https://learn.microsoft.com/defender-office-365/email-authentication-dkim-configure" TargetMode="External"/><Relationship Id="rId163" Type="http://schemas.openxmlformats.org/officeDocument/2006/relationships/hyperlink" Target="https://admin.microsoft.com/Adminportal/Home" TargetMode="External"/><Relationship Id="rId164" Type="http://schemas.openxmlformats.org/officeDocument/2006/relationships/hyperlink" Target="https://learn.microsoft.com/defender-office-365/email-authentication-dmarc-configure" TargetMode="External"/><Relationship Id="rId165" Type="http://schemas.openxmlformats.org/officeDocument/2006/relationships/hyperlink" Target="https://learn.microsoft.com/defender-office-365/email-authentication-dmarc-configure" TargetMode="External"/><Relationship Id="rId166" Type="http://schemas.openxmlformats.org/officeDocument/2006/relationships/hyperlink" Target="https://security.microsoft.com/authentication" TargetMode="External"/><Relationship Id="rId167" Type="http://schemas.openxmlformats.org/officeDocument/2006/relationships/hyperlink" Target="https://learn.microsoft.com/defender-office-365/email-authentication-arc-configure" TargetMode="External"/><Relationship Id="rId168" Type="http://schemas.openxmlformats.org/officeDocument/2006/relationships/hyperlink" Target="https://learn.microsoft.com/exchange/security-and-compliance/enhance-mail-flow-using-strict-transport-security" TargetMode="External"/><Relationship Id="rId169" Type="http://schemas.openxmlformats.org/officeDocument/2006/relationships/hyperlink" Target="https://learn.microsoft.com/exchange/security-and-compliance/how-dane-secures-email" TargetMode="External"/><Relationship Id="rId170" Type="http://schemas.openxmlformats.org/officeDocument/2006/relationships/hyperlink" Target="https://learn.microsoft.com/defender-office-365/external-senders-policies-practices-guidelines" TargetMode="External"/><Relationship Id="rId171" Type="http://schemas.openxmlformats.org/officeDocument/2006/relationships/hyperlink" Target="https://security.microsoft.com/skiplisting" TargetMode="External"/><Relationship Id="rId172" Type="http://schemas.openxmlformats.org/officeDocument/2006/relationships/hyperlink" Target="https://learn.microsoft.com/exchange/mail-flow-best-practices/use-connectors-to-configure-mail-flow/enhanced-filtering-for-connectors" TargetMode="External"/><Relationship Id="rId173" Type="http://schemas.openxmlformats.org/officeDocument/2006/relationships/hyperlink" Target="https://admin.exchange.microsoft.com/" TargetMode="External"/><Relationship Id="rId174" Type="http://schemas.openxmlformats.org/officeDocument/2006/relationships/hyperlink" Target="https://learn.microsoft.com/exchange/mail-flow-best-practices/use-connectors-to-configure-mail-flow/enhanced-filtering-for-connectors" TargetMode="External"/><Relationship Id="rId175" Type="http://schemas.openxmlformats.org/officeDocument/2006/relationships/hyperlink" Target="https://learn.microsoft.com/powershell/module/exchangepowershell/set-externalinoutlook" TargetMode="External"/><Relationship Id="rId176" Type="http://schemas.openxmlformats.org/officeDocument/2006/relationships/hyperlink" Target="https://security.microsoft.com/antiphishing" TargetMode="External"/><Relationship Id="rId177" Type="http://schemas.openxmlformats.org/officeDocument/2006/relationships/hyperlink" Target="https://learn.microsoft.com/defender-office-365/anti-phishing-policies-about" TargetMode="External"/><Relationship Id="rId178" Type="http://schemas.openxmlformats.org/officeDocument/2006/relationships/hyperlink" Target="https://admin.exchange.microsoft.com/" TargetMode="External"/><Relationship Id="rId179" Type="http://schemas.openxmlformats.org/officeDocument/2006/relationships/hyperlink" Target="https://learn.microsoft.com/exchange/security-and-compliance/mail-flow-rules/disclaimers-signatures-footers-or-headers" TargetMode="External"/><Relationship Id="rId180" Type="http://schemas.openxmlformats.org/officeDocument/2006/relationships/hyperlink" Target="https://security.microsoft.com/emailandcollabreport" TargetMode="External"/><Relationship Id="rId181" Type="http://schemas.openxmlformats.org/officeDocument/2006/relationships/hyperlink" Target="https://learn.microsoft.com/defender-office-365/reports-email-security" TargetMode="External"/><Relationship Id="rId182" Type="http://schemas.openxmlformats.org/officeDocument/2006/relationships/hyperlink" Target="https://security.microsoft.com/alertpolicies" TargetMode="External"/><Relationship Id="rId183" Type="http://schemas.openxmlformats.org/officeDocument/2006/relationships/hyperlink" Target="https://learn.microsoft.com/defender-xdr/alert-policies" TargetMode="External"/><Relationship Id="rId184" Type="http://schemas.openxmlformats.org/officeDocument/2006/relationships/hyperlink" Target="https://security.microsoft.com/securitysettings/userSubmission" TargetMode="External"/><Relationship Id="rId185" Type="http://schemas.openxmlformats.org/officeDocument/2006/relationships/hyperlink" Target="https://learn.microsoft.com/defender-office-365/submissions-user-reported-messages-custom-mailbox" TargetMode="External"/><Relationship Id="rId186" Type="http://schemas.openxmlformats.org/officeDocument/2006/relationships/hyperlink" Target="https://admin.exchange.microsoft.com/" TargetMode="External"/><Relationship Id="rId187" Type="http://schemas.openxmlformats.org/officeDocument/2006/relationships/hyperlink" Target="https://learn.microsoft.com/powershell/module/exchangepowershell/get-messagetracev2" TargetMode="External"/><Relationship Id="rId188" Type="http://schemas.openxmlformats.org/officeDocument/2006/relationships/hyperlink" Target="https://learn.microsoft.com/exchange/plan-and-deploy/supportability-matrix" TargetMode="External"/><Relationship Id="rId189" Type="http://schemas.openxmlformats.org/officeDocument/2006/relationships/hyperlink" Target="https://entra.microsoft.com/" TargetMode="External"/><Relationship Id="rId190" Type="http://schemas.openxmlformats.org/officeDocument/2006/relationships/hyperlink" Target="https://learn.microsoft.com/exchange/hybrid-deployment/deploy-dedicated-hybrid-app" TargetMode="External"/><Relationship Id="rId191" Type="http://schemas.openxmlformats.org/officeDocument/2006/relationships/hyperlink" Target="https://learn.microsoft.com/exchange/mail-flow/connectors/allow-anonymous-relay" TargetMode="External"/><Relationship Id="rId192" Type="http://schemas.openxmlformats.org/officeDocument/2006/relationships/hyperlink" Target="https://learn.microsoft.com/exchange/plan-and-deploy/deployment-ref/network-ports" TargetMode="External"/><Relationship Id="rId193" Type="http://schemas.openxmlformats.org/officeDocument/2006/relationships/hyperlink" Target="https://admin.exchange.microsoft.com/" TargetMode="External"/><Relationship Id="rId194" Type="http://schemas.openxmlformats.org/officeDocument/2006/relationships/hyperlink" Target="https://learn.microsoft.com/exchange/clients-and-mobile-in-exchange-online/authenticated-client-smtp-submission" TargetMode="External"/><Relationship Id="rId195" Type="http://schemas.openxmlformats.org/officeDocument/2006/relationships/hyperlink" Target="https://admin.exchange.microsoft.com/" TargetMode="External"/><Relationship Id="rId196" Type="http://schemas.openxmlformats.org/officeDocument/2006/relationships/hyperlink" Target="https://learn.microsoft.com/exchange/recipients-in-exchange-online/manage-user-mailboxes/managing-email-apps-for-user-mailboxes" TargetMode="External"/><Relationship Id="rId197" Type="http://schemas.openxmlformats.org/officeDocument/2006/relationships/hyperlink" Target="https://admin.exchange.microsoft.com/" TargetMode="External"/><Relationship Id="rId198" Type="http://schemas.openxmlformats.org/officeDocument/2006/relationships/hyperlink" Target="https://learn.microsoft.com/office365/servicedescriptions/exchange-online-service-description/exchange-online-limits" TargetMode="External"/><Relationship Id="rId199" Type="http://schemas.openxmlformats.org/officeDocument/2006/relationships/hyperlink" Target="https://admin.exchange.microsoft.com/" TargetMode="External"/><Relationship Id="rId200" Type="http://schemas.openxmlformats.org/officeDocument/2006/relationships/hyperlink" Target="https://learn.microsoft.com/exchange/mail-flow-best-practices/use-connectors-to-configure-mail-flow/set-up-connectors-to-secure-mail-sent-to-partner-organization" TargetMode="External"/><Relationship Id="rId201" Type="http://schemas.openxmlformats.org/officeDocument/2006/relationships/hyperlink" Target="https://admin.exchange.microsoft.com/" TargetMode="External"/><Relationship Id="rId202" Type="http://schemas.openxmlformats.org/officeDocument/2006/relationships/hyperlink" Target="https://learn.microsoft.com/exchange/mail-flow-best-practices/use-connectors-to-configure-mail-flow/use-connectors-to-configure-mail-flow" TargetMode="External"/><Relationship Id="rId203" Type="http://schemas.openxmlformats.org/officeDocument/2006/relationships/hyperlink" Target="https://security.microsoft.com/emailandcollabpermissions" TargetMode="External"/><Relationship Id="rId204" Type="http://schemas.openxmlformats.org/officeDocument/2006/relationships/hyperlink" Target="https://learn.microsoft.com/defender-office-365/scc-permissions" TargetMode="External"/><Relationship Id="rId205" Type="http://schemas.openxmlformats.org/officeDocument/2006/relationships/hyperlink" Target="https://learn.microsoft.com/powershell/exchange/exchange-online-powershell-v2" TargetMode="External"/><Relationship Id="rId206" Type="http://schemas.openxmlformats.org/officeDocument/2006/relationships/hyperlink" Target="https://security.microsoft.com/configurationAnalyzer" TargetMode="External"/><Relationship Id="rId207" Type="http://schemas.openxmlformats.org/officeDocument/2006/relationships/hyperlink" Target="https://learn.microsoft.com/defender-office-365/configuration-analyzer-for-security-policies" TargetMode="External"/><Relationship Id="rId208" Type="http://schemas.openxmlformats.org/officeDocument/2006/relationships/hyperlink" Target="https://purview.microsoft.com/" TargetMode="External"/><Relationship Id="rId209" Type="http://schemas.openxmlformats.org/officeDocument/2006/relationships/hyperlink" Target="https://learn.microsoft.com/purview/audit-log-enable-disable" TargetMode="External"/><Relationship Id="rId210" Type="http://schemas.openxmlformats.org/officeDocument/2006/relationships/hyperlink" Target="https://security.microsoft.com/securitysettings/teamsProtectionPolicy" TargetMode="External"/><Relationship Id="rId211" Type="http://schemas.openxmlformats.org/officeDocument/2006/relationships/hyperlink" Target="https://learn.microsoft.com/defender-office-365/mdo-support-teams-about" TargetMode="External"/><Relationship Id="rId212" Type="http://schemas.openxmlformats.org/officeDocument/2006/relationships/hyperlink" Target="https://admin.exchange.microsoft.com/" TargetMode="External"/><Relationship Id="rId213" Type="http://schemas.openxmlformats.org/officeDocument/2006/relationships/hyperlink" Target="https://learn.microsoft.com/exchange/mail-flow-best-practices/remote-domains/remote-domains" TargetMode="External"/><Relationship Id="rId214" Type="http://schemas.openxmlformats.org/officeDocument/2006/relationships/hyperlink" Target="https://admin.exchange.microsoft.com/" TargetMode="External"/><Relationship Id="rId215" Type="http://schemas.openxmlformats.org/officeDocument/2006/relationships/hyperlink" Target="https://learn.microsoft.com/office365/servicedescriptions/exchange-online-service-description/exchange-online-limits" TargetMode="External"/><Relationship Id="rId216" Type="http://schemas.openxmlformats.org/officeDocument/2006/relationships/hyperlink" Target="https://admin.exchange.microsoft.com/" TargetMode="External"/><Relationship Id="rId217" Type="http://schemas.openxmlformats.org/officeDocument/2006/relationships/hyperlink" Target="https://learn.microsoft.com/exchange/mail-flow-best-practices/use-directory-based-edge-blocking" TargetMode="External"/><Relationship Id="rId218" Type="http://schemas.openxmlformats.org/officeDocument/2006/relationships/hyperlink" Target="https://security.microsoft.com/quarantine" TargetMode="External"/><Relationship Id="rId219" Type="http://schemas.openxmlformats.org/officeDocument/2006/relationships/hyperlink" Target="https://learn.microsoft.com/defender-office-365/anti-malware-protection-about" TargetMode="External"/><Relationship Id="rId220" Type="http://schemas.openxmlformats.org/officeDocument/2006/relationships/hyperlink" Target="https://learn.microsoft.com/defender-office-365/message-headers-eop-mdo" TargetMode="External"/><Relationship Id="rId221" Type="http://schemas.openxmlformats.org/officeDocument/2006/relationships/hyperlink" Target="https://security.microsoft.com/threatexplorerv3" TargetMode="External"/><Relationship Id="rId222" Type="http://schemas.openxmlformats.org/officeDocument/2006/relationships/hyperlink" Target="https://learn.microsoft.com/defender-office-365/threat-explorer-real-time-detections-about" TargetMode="External"/><Relationship Id="rId223" Type="http://schemas.openxmlformats.org/officeDocument/2006/relationships/hyperlink" Target="https://learn.microsoft.com/compliance/regulatory/gdpr" TargetMode="External"/><Relationship Id="rId224" Type="http://schemas.openxmlformats.org/officeDocument/2006/relationships/hyperlink" Target="https://learn.microsoft.com/dynamics365/customer-insights/journeys/bimi-support" TargetMode="External"/><Relationship Id="rId225" Type="http://schemas.openxmlformats.org/officeDocument/2006/relationships/hyperlink" Target="https://security.microsoft.com/airinvestigation" TargetMode="External"/><Relationship Id="rId226" Type="http://schemas.openxmlformats.org/officeDocument/2006/relationships/hyperlink" Target="https://learn.microsoft.com/defender-office-365/air-about" TargetMode="External"/><Relationship Id="rId227" Type="http://schemas.openxmlformats.org/officeDocument/2006/relationships/drawing" Target="../drawings/drawing1.xml"/><Relationship Id="rId228"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52"/>
    <col collapsed="false" customWidth="true" hidden="false" outlineLevel="0" max="4" min="4" style="0" width="60"/>
  </cols>
  <sheetData>
    <row r="2" customFormat="false" ht="24.45" hidden="false" customHeight="false" outlineLevel="0" collapsed="false">
      <c r="B2" s="1" t="s">
        <v>0</v>
      </c>
    </row>
    <row r="3" customFormat="false" ht="17.3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15" hidden="false" customHeight="false" outlineLevel="0" collapsed="false">
      <c r="B7" s="5" t="s">
        <v>4</v>
      </c>
      <c r="C7" s="6" t="s">
        <v>5</v>
      </c>
    </row>
    <row r="8" customFormat="false" ht="15" hidden="false" customHeight="false" outlineLevel="0" collapsed="false">
      <c r="B8" s="5" t="s">
        <v>6</v>
      </c>
      <c r="C8" s="6" t="s">
        <v>7</v>
      </c>
    </row>
    <row r="9" customFormat="false" ht="15" hidden="false" customHeight="false" outlineLevel="0" collapsed="false">
      <c r="B9" s="5" t="s">
        <v>8</v>
      </c>
      <c r="C9" s="6" t="s">
        <v>9</v>
      </c>
    </row>
    <row r="10" customFormat="false" ht="15" hidden="false" customHeight="false" outlineLevel="0" collapsed="false">
      <c r="B10" s="5" t="s">
        <v>10</v>
      </c>
      <c r="C10" s="6" t="s">
        <v>11</v>
      </c>
    </row>
    <row r="11" customFormat="false" ht="15" hidden="false" customHeight="false" outlineLevel="0" collapsed="false">
      <c r="B11" s="5" t="s">
        <v>12</v>
      </c>
      <c r="C11" s="6" t="s">
        <v>13</v>
      </c>
    </row>
    <row r="12" customFormat="false" ht="15" hidden="false" customHeight="false" outlineLevel="0" collapsed="false">
      <c r="B12" s="5" t="s">
        <v>14</v>
      </c>
      <c r="C12" s="6" t="s">
        <v>15</v>
      </c>
    </row>
    <row r="13" customFormat="false" ht="15" hidden="false" customHeight="false" outlineLevel="0" collapsed="false">
      <c r="B13" s="5" t="s">
        <v>16</v>
      </c>
      <c r="C13" s="6" t="s">
        <v>17</v>
      </c>
    </row>
    <row r="14" customFormat="false" ht="15" hidden="false" customHeight="false" outlineLevel="0" collapsed="false">
      <c r="B14" s="5" t="s">
        <v>18</v>
      </c>
      <c r="C14" s="6" t="s">
        <v>19</v>
      </c>
    </row>
    <row r="15" customFormat="false" ht="15" hidden="false" customHeight="false" outlineLevel="0" collapsed="false">
      <c r="B15" s="5" t="s">
        <v>20</v>
      </c>
      <c r="C15" s="6" t="s">
        <v>21</v>
      </c>
    </row>
    <row r="17" customFormat="false" ht="15" hidden="false" customHeight="false" outlineLevel="0" collapsed="false">
      <c r="B17" s="4" t="s">
        <v>22</v>
      </c>
    </row>
    <row r="18" customFormat="false" ht="30" hidden="false" customHeight="true" outlineLevel="0" collapsed="false">
      <c r="B18" s="5" t="s">
        <v>23</v>
      </c>
      <c r="C18" s="7" t="s">
        <v>24</v>
      </c>
      <c r="D18" s="7"/>
    </row>
    <row r="19" customFormat="false" ht="30" hidden="false" customHeight="true" outlineLevel="0" collapsed="false">
      <c r="B19" s="5" t="s">
        <v>25</v>
      </c>
      <c r="C19" s="7" t="s">
        <v>26</v>
      </c>
      <c r="D19" s="7"/>
    </row>
    <row r="20" customFormat="false" ht="30" hidden="false" customHeight="true" outlineLevel="0" collapsed="false">
      <c r="B20" s="5" t="s">
        <v>27</v>
      </c>
      <c r="C20" s="7" t="s">
        <v>28</v>
      </c>
      <c r="D20" s="7"/>
    </row>
    <row r="21" customFormat="false" ht="30" hidden="false" customHeight="true" outlineLevel="0" collapsed="false">
      <c r="B21" s="5" t="s">
        <v>29</v>
      </c>
      <c r="C21" s="7" t="s">
        <v>30</v>
      </c>
      <c r="D21" s="7"/>
    </row>
    <row r="22" customFormat="false" ht="30" hidden="false" customHeight="true" outlineLevel="0" collapsed="false">
      <c r="B22" s="5" t="s">
        <v>31</v>
      </c>
      <c r="C22" s="7" t="s">
        <v>32</v>
      </c>
      <c r="D22" s="7"/>
    </row>
    <row r="23" customFormat="false" ht="30" hidden="false" customHeight="true" outlineLevel="0" collapsed="false">
      <c r="B23" s="5" t="s">
        <v>33</v>
      </c>
      <c r="C23" s="7" t="s">
        <v>34</v>
      </c>
      <c r="D23" s="7"/>
    </row>
    <row r="25" customFormat="false" ht="15" hidden="false" customHeight="false" outlineLevel="0" collapsed="false">
      <c r="B25" s="4" t="s">
        <v>35</v>
      </c>
    </row>
    <row r="26" customFormat="false" ht="15" hidden="false" customHeight="true" outlineLevel="0" collapsed="false">
      <c r="B26" s="5" t="s">
        <v>36</v>
      </c>
      <c r="C26" s="7" t="s">
        <v>37</v>
      </c>
      <c r="D26" s="7"/>
    </row>
    <row r="27" customFormat="false" ht="15" hidden="false" customHeight="true" outlineLevel="0" collapsed="false">
      <c r="B27" s="5" t="s">
        <v>38</v>
      </c>
      <c r="C27" s="7" t="s">
        <v>39</v>
      </c>
      <c r="D27" s="7"/>
    </row>
    <row r="28" customFormat="false" ht="15" hidden="false" customHeight="true" outlineLevel="0" collapsed="false">
      <c r="B28" s="5" t="s">
        <v>40</v>
      </c>
      <c r="C28" s="7" t="s">
        <v>41</v>
      </c>
      <c r="D28" s="7"/>
    </row>
    <row r="29" customFormat="false" ht="15" hidden="false" customHeight="true" outlineLevel="0" collapsed="false">
      <c r="B29" s="5" t="s">
        <v>42</v>
      </c>
      <c r="C29" s="7" t="s">
        <v>43</v>
      </c>
      <c r="D29" s="7"/>
    </row>
    <row r="30" customFormat="false" ht="15" hidden="false" customHeight="true" outlineLevel="0" collapsed="false">
      <c r="B30" s="5" t="s">
        <v>44</v>
      </c>
      <c r="C30" s="7" t="s">
        <v>45</v>
      </c>
      <c r="D30" s="7"/>
    </row>
    <row r="31" customFormat="false" ht="15" hidden="false" customHeight="true" outlineLevel="0" collapsed="false">
      <c r="B31" s="5" t="s">
        <v>46</v>
      </c>
      <c r="C31" s="7" t="s">
        <v>47</v>
      </c>
      <c r="D31" s="7"/>
    </row>
    <row r="33" customFormat="false" ht="15" hidden="false" customHeight="false" outlineLevel="0" collapsed="false">
      <c r="B33" s="4" t="s">
        <v>48</v>
      </c>
    </row>
    <row r="34" customFormat="false" ht="19.5" hidden="false" customHeight="true" outlineLevel="0" collapsed="false">
      <c r="B34" s="7" t="s">
        <v>49</v>
      </c>
      <c r="C34" s="7"/>
      <c r="D34" s="7"/>
    </row>
    <row r="35" customFormat="false" ht="15" hidden="false" customHeight="false" outlineLevel="0" collapsed="false">
      <c r="B35" s="7"/>
      <c r="C35" s="7"/>
      <c r="D35" s="7"/>
    </row>
    <row r="36" customFormat="false" ht="15" hidden="false" customHeight="false" outlineLevel="0" collapsed="false">
      <c r="B36" s="7"/>
      <c r="C36" s="7"/>
      <c r="D36" s="7"/>
    </row>
  </sheetData>
  <mergeCells count="13">
    <mergeCell ref="C18:D18"/>
    <mergeCell ref="C19:D19"/>
    <mergeCell ref="C20:D20"/>
    <mergeCell ref="C21:D21"/>
    <mergeCell ref="C22:D22"/>
    <mergeCell ref="C23:D23"/>
    <mergeCell ref="C26:D26"/>
    <mergeCell ref="C27:D27"/>
    <mergeCell ref="C28:D28"/>
    <mergeCell ref="C29:D29"/>
    <mergeCell ref="C30:D30"/>
    <mergeCell ref="C31:D31"/>
    <mergeCell ref="B34: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4"/>
    <col collapsed="false" customWidth="true" hidden="false" outlineLevel="0" max="4" min="4" style="0" width="30"/>
    <col collapsed="false" customWidth="true" hidden="false" outlineLevel="0" max="5" min="5" style="0" width="22"/>
    <col collapsed="false" customWidth="true" hidden="false" outlineLevel="0" max="6" min="6" style="0" width="42"/>
    <col collapsed="false" customWidth="true" hidden="false" outlineLevel="0" max="7" min="7" style="0" width="38"/>
    <col collapsed="false" customWidth="true" hidden="false" outlineLevel="0" max="10" min="8" style="0" width="24"/>
    <col collapsed="false" customWidth="true" hidden="false" outlineLevel="0" max="11" min="11" style="0" width="20"/>
    <col collapsed="false" customWidth="true" hidden="false" outlineLevel="0" max="13" min="12" style="0" width="46"/>
    <col collapsed="false" customWidth="true" hidden="false" outlineLevel="0" max="14" min="14" style="0" width="52"/>
    <col collapsed="false" customWidth="true" hidden="false" outlineLevel="0" max="16" min="15" style="0" width="16"/>
    <col collapsed="false" customWidth="true" hidden="false" outlineLevel="0" max="17" min="17" style="0" width="60"/>
    <col collapsed="false" customWidth="true" hidden="false" outlineLevel="0" max="18" min="18" style="0" width="26"/>
  </cols>
  <sheetData>
    <row r="1" customFormat="false" ht="33.75" hidden="false" customHeight="true" outlineLevel="0" collapsed="false">
      <c r="A1" s="8" t="s">
        <v>50</v>
      </c>
      <c r="B1" s="8" t="s">
        <v>51</v>
      </c>
      <c r="C1" s="8" t="s">
        <v>52</v>
      </c>
      <c r="D1" s="8" t="s">
        <v>53</v>
      </c>
      <c r="E1" s="8" t="s">
        <v>54</v>
      </c>
      <c r="F1" s="8" t="s">
        <v>55</v>
      </c>
      <c r="G1" s="8" t="s">
        <v>56</v>
      </c>
      <c r="H1" s="8" t="s">
        <v>57</v>
      </c>
      <c r="I1" s="8" t="s">
        <v>58</v>
      </c>
      <c r="J1" s="8" t="s">
        <v>59</v>
      </c>
      <c r="K1" s="8" t="s">
        <v>60</v>
      </c>
      <c r="L1" s="8" t="s">
        <v>61</v>
      </c>
      <c r="M1" s="8" t="s">
        <v>62</v>
      </c>
      <c r="N1" s="8" t="s">
        <v>63</v>
      </c>
      <c r="O1" s="8" t="s">
        <v>64</v>
      </c>
      <c r="P1" s="8" t="s">
        <v>65</v>
      </c>
      <c r="Q1" s="8" t="s">
        <v>66</v>
      </c>
      <c r="R1" s="8" t="s">
        <v>67</v>
      </c>
    </row>
    <row r="2" customFormat="false" ht="42" hidden="false" customHeight="true" outlineLevel="0" collapsed="false">
      <c r="A2" s="9" t="s">
        <v>68</v>
      </c>
      <c r="B2" s="9" t="s">
        <v>69</v>
      </c>
      <c r="C2" s="9" t="s">
        <v>70</v>
      </c>
      <c r="D2" s="9" t="s">
        <v>71</v>
      </c>
      <c r="E2" s="9" t="s">
        <v>38</v>
      </c>
      <c r="F2" s="9" t="s">
        <v>72</v>
      </c>
      <c r="G2" s="9" t="s">
        <v>73</v>
      </c>
      <c r="H2" s="9" t="s">
        <v>74</v>
      </c>
      <c r="I2" s="9" t="s">
        <v>72</v>
      </c>
      <c r="J2" s="9" t="s">
        <v>75</v>
      </c>
      <c r="K2" s="9" t="s">
        <v>76</v>
      </c>
      <c r="L2" s="9" t="s">
        <v>77</v>
      </c>
      <c r="M2" s="9" t="s">
        <v>78</v>
      </c>
      <c r="N2" s="9" t="s">
        <v>79</v>
      </c>
      <c r="O2" s="9" t="s">
        <v>80</v>
      </c>
      <c r="P2" s="9" t="s">
        <v>81</v>
      </c>
      <c r="Q2" s="9" t="s">
        <v>82</v>
      </c>
      <c r="R2" s="9" t="s">
        <v>83</v>
      </c>
    </row>
    <row r="3" customFormat="false" ht="19.5" hidden="false" customHeight="true" outlineLevel="0" collapsed="false">
      <c r="A3" s="10" t="s">
        <v>84</v>
      </c>
      <c r="B3" s="10"/>
      <c r="C3" s="10"/>
      <c r="D3" s="10"/>
      <c r="E3" s="10"/>
      <c r="F3" s="10"/>
      <c r="G3" s="10"/>
      <c r="H3" s="10"/>
      <c r="I3" s="10"/>
      <c r="J3" s="10"/>
      <c r="K3" s="10"/>
      <c r="L3" s="10"/>
      <c r="M3" s="10"/>
      <c r="N3" s="10"/>
      <c r="O3" s="10"/>
      <c r="P3" s="10"/>
      <c r="Q3" s="10"/>
      <c r="R3" s="10"/>
    </row>
    <row r="4" customFormat="false" ht="102" hidden="false" customHeight="true" outlineLevel="0" collapsed="false">
      <c r="A4" s="11" t="s">
        <v>85</v>
      </c>
      <c r="B4" s="12" t="s">
        <v>84</v>
      </c>
      <c r="C4" s="12" t="s">
        <v>86</v>
      </c>
      <c r="D4" s="13"/>
      <c r="E4" s="13" t="s">
        <v>46</v>
      </c>
      <c r="F4" s="12" t="s">
        <v>87</v>
      </c>
      <c r="G4" s="12" t="s">
        <v>88</v>
      </c>
      <c r="H4" s="12" t="s">
        <v>89</v>
      </c>
      <c r="I4" s="12" t="s">
        <v>90</v>
      </c>
      <c r="J4" s="12" t="s">
        <v>90</v>
      </c>
      <c r="K4" s="12" t="s">
        <v>91</v>
      </c>
      <c r="L4" s="14" t="s">
        <v>92</v>
      </c>
      <c r="M4" s="14" t="s">
        <v>93</v>
      </c>
      <c r="N4" s="12" t="s">
        <v>94</v>
      </c>
      <c r="O4" s="15" t="s">
        <v>64</v>
      </c>
      <c r="P4" s="15" t="s">
        <v>81</v>
      </c>
      <c r="Q4" s="12" t="s">
        <v>95</v>
      </c>
      <c r="R4" s="13"/>
    </row>
    <row r="5" customFormat="false" ht="78" hidden="false" customHeight="true" outlineLevel="0" collapsed="false">
      <c r="A5" s="11" t="s">
        <v>96</v>
      </c>
      <c r="B5" s="12" t="s">
        <v>84</v>
      </c>
      <c r="C5" s="12" t="s">
        <v>97</v>
      </c>
      <c r="D5" s="13"/>
      <c r="E5" s="13" t="s">
        <v>46</v>
      </c>
      <c r="F5" s="12" t="s">
        <v>98</v>
      </c>
      <c r="G5" s="12" t="s">
        <v>99</v>
      </c>
      <c r="H5" s="12" t="s">
        <v>100</v>
      </c>
      <c r="I5" s="12" t="s">
        <v>101</v>
      </c>
      <c r="J5" s="12" t="s">
        <v>101</v>
      </c>
      <c r="K5" s="12" t="s">
        <v>102</v>
      </c>
      <c r="L5" s="14" t="s">
        <v>103</v>
      </c>
      <c r="M5" s="14" t="s">
        <v>104</v>
      </c>
      <c r="N5" s="12" t="s">
        <v>105</v>
      </c>
      <c r="O5" s="15" t="s">
        <v>64</v>
      </c>
      <c r="P5" s="15" t="s">
        <v>81</v>
      </c>
      <c r="Q5" s="12" t="s">
        <v>106</v>
      </c>
      <c r="R5" s="13"/>
    </row>
    <row r="6" customFormat="false" ht="66" hidden="false" customHeight="true" outlineLevel="0" collapsed="false">
      <c r="A6" s="11" t="s">
        <v>107</v>
      </c>
      <c r="B6" s="12" t="s">
        <v>84</v>
      </c>
      <c r="C6" s="12" t="s">
        <v>108</v>
      </c>
      <c r="D6" s="13"/>
      <c r="E6" s="13" t="s">
        <v>46</v>
      </c>
      <c r="F6" s="12" t="s">
        <v>109</v>
      </c>
      <c r="G6" s="12" t="s">
        <v>99</v>
      </c>
      <c r="H6" s="12" t="s">
        <v>99</v>
      </c>
      <c r="I6" s="12" t="s">
        <v>99</v>
      </c>
      <c r="J6" s="12" t="s">
        <v>99</v>
      </c>
      <c r="K6" s="12" t="s">
        <v>76</v>
      </c>
      <c r="L6" s="14" t="s">
        <v>110</v>
      </c>
      <c r="M6" s="14" t="s">
        <v>111</v>
      </c>
      <c r="N6" s="12" t="s">
        <v>112</v>
      </c>
      <c r="O6" s="15" t="s">
        <v>64</v>
      </c>
      <c r="P6" s="15" t="s">
        <v>81</v>
      </c>
      <c r="Q6" s="12" t="s">
        <v>113</v>
      </c>
      <c r="R6" s="13"/>
    </row>
    <row r="7" customFormat="false" ht="66" hidden="false" customHeight="true" outlineLevel="0" collapsed="false">
      <c r="A7" s="11" t="s">
        <v>114</v>
      </c>
      <c r="B7" s="12" t="s">
        <v>84</v>
      </c>
      <c r="C7" s="12" t="s">
        <v>115</v>
      </c>
      <c r="D7" s="13"/>
      <c r="E7" s="13" t="s">
        <v>46</v>
      </c>
      <c r="F7" s="12" t="s">
        <v>116</v>
      </c>
      <c r="G7" s="12" t="s">
        <v>117</v>
      </c>
      <c r="H7" s="12" t="s">
        <v>99</v>
      </c>
      <c r="I7" s="12" t="s">
        <v>99</v>
      </c>
      <c r="J7" s="12" t="s">
        <v>99</v>
      </c>
      <c r="K7" s="12" t="s">
        <v>118</v>
      </c>
      <c r="L7" s="14" t="s">
        <v>119</v>
      </c>
      <c r="M7" s="14" t="s">
        <v>120</v>
      </c>
      <c r="N7" s="12" t="s">
        <v>121</v>
      </c>
      <c r="O7" s="15" t="s">
        <v>64</v>
      </c>
      <c r="P7" s="15" t="s">
        <v>81</v>
      </c>
      <c r="Q7" s="12" t="s">
        <v>122</v>
      </c>
      <c r="R7" s="13"/>
    </row>
    <row r="8" customFormat="false" ht="150" hidden="false" customHeight="true" outlineLevel="0" collapsed="false">
      <c r="A8" s="11" t="s">
        <v>123</v>
      </c>
      <c r="B8" s="12" t="s">
        <v>84</v>
      </c>
      <c r="C8" s="12" t="s">
        <v>124</v>
      </c>
      <c r="D8" s="13"/>
      <c r="E8" s="13" t="s">
        <v>46</v>
      </c>
      <c r="F8" s="12" t="s">
        <v>125</v>
      </c>
      <c r="G8" s="12" t="s">
        <v>99</v>
      </c>
      <c r="H8" s="12" t="s">
        <v>99</v>
      </c>
      <c r="I8" s="12" t="s">
        <v>99</v>
      </c>
      <c r="J8" s="12" t="s">
        <v>99</v>
      </c>
      <c r="K8" s="12" t="s">
        <v>118</v>
      </c>
      <c r="L8" s="14" t="s">
        <v>126</v>
      </c>
      <c r="M8" s="14" t="s">
        <v>127</v>
      </c>
      <c r="N8" s="12" t="s">
        <v>128</v>
      </c>
      <c r="O8" s="15" t="s">
        <v>64</v>
      </c>
      <c r="P8" s="15" t="s">
        <v>81</v>
      </c>
      <c r="Q8" s="12" t="s">
        <v>129</v>
      </c>
      <c r="R8" s="13"/>
    </row>
    <row r="9" customFormat="false" ht="19.5" hidden="false" customHeight="true" outlineLevel="0" collapsed="false">
      <c r="A9" s="10" t="s">
        <v>130</v>
      </c>
      <c r="B9" s="10"/>
      <c r="C9" s="10"/>
      <c r="D9" s="10"/>
      <c r="E9" s="10"/>
      <c r="F9" s="10"/>
      <c r="G9" s="10"/>
      <c r="H9" s="10"/>
      <c r="I9" s="10"/>
      <c r="J9" s="10"/>
      <c r="K9" s="10"/>
      <c r="L9" s="10"/>
      <c r="M9" s="10"/>
      <c r="N9" s="10"/>
      <c r="O9" s="10"/>
      <c r="P9" s="10"/>
      <c r="Q9" s="10"/>
      <c r="R9" s="10"/>
    </row>
    <row r="10" customFormat="false" ht="66" hidden="false" customHeight="true" outlineLevel="0" collapsed="false">
      <c r="A10" s="11" t="s">
        <v>131</v>
      </c>
      <c r="B10" s="12" t="s">
        <v>130</v>
      </c>
      <c r="C10" s="12" t="s">
        <v>132</v>
      </c>
      <c r="D10" s="13"/>
      <c r="E10" s="13" t="s">
        <v>46</v>
      </c>
      <c r="F10" s="12" t="s">
        <v>72</v>
      </c>
      <c r="G10" s="12" t="s">
        <v>73</v>
      </c>
      <c r="H10" s="12" t="s">
        <v>74</v>
      </c>
      <c r="I10" s="12" t="s">
        <v>72</v>
      </c>
      <c r="J10" s="12" t="s">
        <v>75</v>
      </c>
      <c r="K10" s="12" t="s">
        <v>76</v>
      </c>
      <c r="L10" s="14" t="s">
        <v>133</v>
      </c>
      <c r="M10" s="14" t="s">
        <v>78</v>
      </c>
      <c r="N10" s="12" t="s">
        <v>134</v>
      </c>
      <c r="O10" s="15" t="s">
        <v>64</v>
      </c>
      <c r="P10" s="15" t="s">
        <v>81</v>
      </c>
      <c r="Q10" s="12" t="s">
        <v>135</v>
      </c>
      <c r="R10" s="13"/>
    </row>
    <row r="11" customFormat="false" ht="54" hidden="false" customHeight="true" outlineLevel="0" collapsed="false">
      <c r="A11" s="11" t="s">
        <v>136</v>
      </c>
      <c r="B11" s="12" t="s">
        <v>130</v>
      </c>
      <c r="C11" s="12" t="s">
        <v>137</v>
      </c>
      <c r="D11" s="13"/>
      <c r="E11" s="13" t="s">
        <v>46</v>
      </c>
      <c r="F11" s="12" t="s">
        <v>138</v>
      </c>
      <c r="G11" s="12" t="s">
        <v>139</v>
      </c>
      <c r="H11" s="12" t="s">
        <v>140</v>
      </c>
      <c r="I11" s="12" t="s">
        <v>140</v>
      </c>
      <c r="J11" s="12" t="s">
        <v>141</v>
      </c>
      <c r="K11" s="12" t="s">
        <v>76</v>
      </c>
      <c r="L11" s="14" t="s">
        <v>142</v>
      </c>
      <c r="M11" s="14" t="s">
        <v>143</v>
      </c>
      <c r="N11" s="12" t="s">
        <v>144</v>
      </c>
      <c r="O11" s="15" t="s">
        <v>64</v>
      </c>
      <c r="P11" s="15" t="s">
        <v>81</v>
      </c>
      <c r="Q11" s="12" t="s">
        <v>145</v>
      </c>
      <c r="R11" s="13"/>
    </row>
    <row r="12" customFormat="false" ht="78" hidden="false" customHeight="true" outlineLevel="0" collapsed="false">
      <c r="A12" s="11" t="s">
        <v>146</v>
      </c>
      <c r="B12" s="12" t="s">
        <v>130</v>
      </c>
      <c r="C12" s="12" t="s">
        <v>147</v>
      </c>
      <c r="D12" s="13"/>
      <c r="E12" s="13" t="s">
        <v>46</v>
      </c>
      <c r="F12" s="12" t="s">
        <v>148</v>
      </c>
      <c r="G12" s="12" t="s">
        <v>149</v>
      </c>
      <c r="H12" s="12" t="s">
        <v>140</v>
      </c>
      <c r="I12" s="12" t="s">
        <v>150</v>
      </c>
      <c r="J12" s="12" t="s">
        <v>150</v>
      </c>
      <c r="K12" s="12" t="s">
        <v>76</v>
      </c>
      <c r="L12" s="14" t="s">
        <v>151</v>
      </c>
      <c r="M12" s="14" t="s">
        <v>152</v>
      </c>
      <c r="N12" s="12" t="s">
        <v>153</v>
      </c>
      <c r="O12" s="15" t="s">
        <v>64</v>
      </c>
      <c r="P12" s="15" t="s">
        <v>81</v>
      </c>
      <c r="Q12" s="12" t="s">
        <v>154</v>
      </c>
      <c r="R12" s="13"/>
    </row>
    <row r="13" customFormat="false" ht="54" hidden="false" customHeight="true" outlineLevel="0" collapsed="false">
      <c r="A13" s="11" t="s">
        <v>155</v>
      </c>
      <c r="B13" s="12" t="s">
        <v>130</v>
      </c>
      <c r="C13" s="12" t="s">
        <v>156</v>
      </c>
      <c r="D13" s="13"/>
      <c r="E13" s="13" t="s">
        <v>46</v>
      </c>
      <c r="F13" s="12" t="s">
        <v>150</v>
      </c>
      <c r="G13" s="12" t="s">
        <v>157</v>
      </c>
      <c r="H13" s="12" t="s">
        <v>158</v>
      </c>
      <c r="I13" s="12" t="s">
        <v>150</v>
      </c>
      <c r="J13" s="12" t="s">
        <v>150</v>
      </c>
      <c r="K13" s="12" t="s">
        <v>76</v>
      </c>
      <c r="L13" s="14" t="s">
        <v>159</v>
      </c>
      <c r="M13" s="14" t="s">
        <v>160</v>
      </c>
      <c r="N13" s="12" t="s">
        <v>161</v>
      </c>
      <c r="O13" s="15" t="s">
        <v>64</v>
      </c>
      <c r="P13" s="15" t="s">
        <v>81</v>
      </c>
      <c r="Q13" s="12" t="s">
        <v>162</v>
      </c>
      <c r="R13" s="13"/>
    </row>
    <row r="14" customFormat="false" ht="54" hidden="false" customHeight="true" outlineLevel="0" collapsed="false">
      <c r="A14" s="11" t="s">
        <v>163</v>
      </c>
      <c r="B14" s="12" t="s">
        <v>130</v>
      </c>
      <c r="C14" s="12" t="s">
        <v>164</v>
      </c>
      <c r="D14" s="13"/>
      <c r="E14" s="13" t="s">
        <v>46</v>
      </c>
      <c r="F14" s="12" t="s">
        <v>165</v>
      </c>
      <c r="G14" s="12" t="s">
        <v>157</v>
      </c>
      <c r="H14" s="12" t="s">
        <v>165</v>
      </c>
      <c r="I14" s="12" t="s">
        <v>165</v>
      </c>
      <c r="J14" s="12" t="s">
        <v>165</v>
      </c>
      <c r="K14" s="12" t="s">
        <v>76</v>
      </c>
      <c r="L14" s="14" t="s">
        <v>166</v>
      </c>
      <c r="M14" s="14" t="s">
        <v>167</v>
      </c>
      <c r="N14" s="12" t="s">
        <v>168</v>
      </c>
      <c r="O14" s="15" t="s">
        <v>64</v>
      </c>
      <c r="P14" s="15" t="s">
        <v>81</v>
      </c>
      <c r="Q14" s="12" t="s">
        <v>169</v>
      </c>
      <c r="R14" s="13"/>
    </row>
    <row r="15" customFormat="false" ht="54" hidden="false" customHeight="true" outlineLevel="0" collapsed="false">
      <c r="A15" s="11" t="s">
        <v>170</v>
      </c>
      <c r="B15" s="12" t="s">
        <v>130</v>
      </c>
      <c r="C15" s="12" t="s">
        <v>171</v>
      </c>
      <c r="D15" s="13"/>
      <c r="E15" s="13" t="s">
        <v>46</v>
      </c>
      <c r="F15" s="12" t="s">
        <v>140</v>
      </c>
      <c r="G15" s="12" t="s">
        <v>172</v>
      </c>
      <c r="H15" s="12" t="s">
        <v>140</v>
      </c>
      <c r="I15" s="12" t="s">
        <v>140</v>
      </c>
      <c r="J15" s="12" t="s">
        <v>150</v>
      </c>
      <c r="K15" s="12" t="s">
        <v>76</v>
      </c>
      <c r="L15" s="14" t="s">
        <v>173</v>
      </c>
      <c r="M15" s="14" t="s">
        <v>174</v>
      </c>
      <c r="N15" s="12" t="s">
        <v>175</v>
      </c>
      <c r="O15" s="15" t="s">
        <v>64</v>
      </c>
      <c r="P15" s="15" t="s">
        <v>81</v>
      </c>
      <c r="Q15" s="12" t="s">
        <v>176</v>
      </c>
      <c r="R15" s="13"/>
    </row>
    <row r="16" customFormat="false" ht="42" hidden="false" customHeight="true" outlineLevel="0" collapsed="false">
      <c r="A16" s="11" t="s">
        <v>177</v>
      </c>
      <c r="B16" s="12" t="s">
        <v>130</v>
      </c>
      <c r="C16" s="12" t="s">
        <v>178</v>
      </c>
      <c r="D16" s="13"/>
      <c r="E16" s="13" t="s">
        <v>46</v>
      </c>
      <c r="F16" s="12" t="s">
        <v>179</v>
      </c>
      <c r="G16" s="12" t="s">
        <v>180</v>
      </c>
      <c r="H16" s="12" t="s">
        <v>179</v>
      </c>
      <c r="I16" s="12" t="s">
        <v>179</v>
      </c>
      <c r="J16" s="12" t="s">
        <v>179</v>
      </c>
      <c r="K16" s="12" t="s">
        <v>76</v>
      </c>
      <c r="L16" s="14" t="s">
        <v>181</v>
      </c>
      <c r="M16" s="14" t="s">
        <v>182</v>
      </c>
      <c r="N16" s="12" t="s">
        <v>183</v>
      </c>
      <c r="O16" s="15" t="s">
        <v>64</v>
      </c>
      <c r="P16" s="15" t="s">
        <v>81</v>
      </c>
      <c r="Q16" s="12" t="s">
        <v>184</v>
      </c>
      <c r="R16" s="13"/>
    </row>
    <row r="17" customFormat="false" ht="66" hidden="false" customHeight="true" outlineLevel="0" collapsed="false">
      <c r="A17" s="11" t="s">
        <v>185</v>
      </c>
      <c r="B17" s="12" t="s">
        <v>130</v>
      </c>
      <c r="C17" s="12" t="s">
        <v>186</v>
      </c>
      <c r="D17" s="13"/>
      <c r="E17" s="13" t="s">
        <v>46</v>
      </c>
      <c r="F17" s="12" t="s">
        <v>187</v>
      </c>
      <c r="G17" s="12" t="s">
        <v>180</v>
      </c>
      <c r="H17" s="12" t="s">
        <v>188</v>
      </c>
      <c r="I17" s="12" t="s">
        <v>188</v>
      </c>
      <c r="J17" s="12" t="s">
        <v>188</v>
      </c>
      <c r="K17" s="12" t="s">
        <v>76</v>
      </c>
      <c r="L17" s="14" t="s">
        <v>189</v>
      </c>
      <c r="M17" s="14" t="s">
        <v>190</v>
      </c>
      <c r="N17" s="12" t="s">
        <v>191</v>
      </c>
      <c r="O17" s="15" t="s">
        <v>64</v>
      </c>
      <c r="P17" s="15" t="s">
        <v>81</v>
      </c>
      <c r="Q17" s="12" t="s">
        <v>192</v>
      </c>
      <c r="R17" s="13"/>
    </row>
    <row r="18" customFormat="false" ht="66" hidden="false" customHeight="true" outlineLevel="0" collapsed="false">
      <c r="A18" s="11" t="s">
        <v>193</v>
      </c>
      <c r="B18" s="12" t="s">
        <v>130</v>
      </c>
      <c r="C18" s="12" t="s">
        <v>194</v>
      </c>
      <c r="D18" s="13"/>
      <c r="E18" s="13" t="s">
        <v>46</v>
      </c>
      <c r="F18" s="12" t="s">
        <v>195</v>
      </c>
      <c r="G18" s="12" t="s">
        <v>99</v>
      </c>
      <c r="H18" s="12" t="s">
        <v>196</v>
      </c>
      <c r="I18" s="12" t="s">
        <v>197</v>
      </c>
      <c r="J18" s="12" t="s">
        <v>197</v>
      </c>
      <c r="K18" s="12" t="s">
        <v>76</v>
      </c>
      <c r="L18" s="14" t="s">
        <v>198</v>
      </c>
      <c r="M18" s="14" t="s">
        <v>199</v>
      </c>
      <c r="N18" s="12" t="s">
        <v>200</v>
      </c>
      <c r="O18" s="15" t="s">
        <v>64</v>
      </c>
      <c r="P18" s="15" t="s">
        <v>81</v>
      </c>
      <c r="Q18" s="12" t="s">
        <v>201</v>
      </c>
      <c r="R18" s="13"/>
    </row>
    <row r="19" customFormat="false" ht="78" hidden="false" customHeight="true" outlineLevel="0" collapsed="false">
      <c r="A19" s="11" t="s">
        <v>202</v>
      </c>
      <c r="B19" s="12" t="s">
        <v>130</v>
      </c>
      <c r="C19" s="12" t="s">
        <v>203</v>
      </c>
      <c r="D19" s="13"/>
      <c r="E19" s="13" t="s">
        <v>46</v>
      </c>
      <c r="F19" s="12" t="s">
        <v>204</v>
      </c>
      <c r="G19" s="12" t="s">
        <v>205</v>
      </c>
      <c r="H19" s="12" t="s">
        <v>206</v>
      </c>
      <c r="I19" s="12" t="s">
        <v>206</v>
      </c>
      <c r="J19" s="12" t="s">
        <v>206</v>
      </c>
      <c r="K19" s="12" t="s">
        <v>76</v>
      </c>
      <c r="L19" s="14" t="s">
        <v>207</v>
      </c>
      <c r="M19" s="14" t="s">
        <v>208</v>
      </c>
      <c r="N19" s="12" t="s">
        <v>209</v>
      </c>
      <c r="O19" s="15" t="s">
        <v>64</v>
      </c>
      <c r="P19" s="15" t="s">
        <v>81</v>
      </c>
      <c r="Q19" s="12" t="s">
        <v>210</v>
      </c>
      <c r="R19" s="13"/>
    </row>
    <row r="20" customFormat="false" ht="78" hidden="false" customHeight="true" outlineLevel="0" collapsed="false">
      <c r="A20" s="11" t="s">
        <v>211</v>
      </c>
      <c r="B20" s="12" t="s">
        <v>130</v>
      </c>
      <c r="C20" s="12" t="s">
        <v>212</v>
      </c>
      <c r="D20" s="13"/>
      <c r="E20" s="13" t="s">
        <v>46</v>
      </c>
      <c r="F20" s="12" t="s">
        <v>213</v>
      </c>
      <c r="G20" s="12" t="s">
        <v>214</v>
      </c>
      <c r="H20" s="12" t="s">
        <v>215</v>
      </c>
      <c r="I20" s="12" t="s">
        <v>215</v>
      </c>
      <c r="J20" s="12" t="s">
        <v>215</v>
      </c>
      <c r="K20" s="12" t="s">
        <v>76</v>
      </c>
      <c r="L20" s="14" t="s">
        <v>216</v>
      </c>
      <c r="M20" s="14" t="s">
        <v>217</v>
      </c>
      <c r="N20" s="12" t="s">
        <v>218</v>
      </c>
      <c r="O20" s="15" t="s">
        <v>64</v>
      </c>
      <c r="P20" s="15" t="s">
        <v>81</v>
      </c>
      <c r="Q20" s="12" t="s">
        <v>219</v>
      </c>
      <c r="R20" s="13"/>
    </row>
    <row r="21" customFormat="false" ht="66" hidden="false" customHeight="true" outlineLevel="0" collapsed="false">
      <c r="A21" s="11" t="s">
        <v>220</v>
      </c>
      <c r="B21" s="12" t="s">
        <v>130</v>
      </c>
      <c r="C21" s="12" t="s">
        <v>221</v>
      </c>
      <c r="D21" s="13"/>
      <c r="E21" s="13" t="s">
        <v>46</v>
      </c>
      <c r="F21" s="12" t="s">
        <v>222</v>
      </c>
      <c r="G21" s="12" t="s">
        <v>99</v>
      </c>
      <c r="H21" s="12" t="s">
        <v>223</v>
      </c>
      <c r="I21" s="12" t="s">
        <v>223</v>
      </c>
      <c r="J21" s="12" t="s">
        <v>223</v>
      </c>
      <c r="K21" s="12" t="s">
        <v>76</v>
      </c>
      <c r="L21" s="14" t="s">
        <v>224</v>
      </c>
      <c r="M21" s="14" t="s">
        <v>225</v>
      </c>
      <c r="N21" s="12" t="s">
        <v>226</v>
      </c>
      <c r="O21" s="15" t="s">
        <v>64</v>
      </c>
      <c r="P21" s="15" t="s">
        <v>81</v>
      </c>
      <c r="Q21" s="12" t="s">
        <v>227</v>
      </c>
      <c r="R21" s="13"/>
    </row>
    <row r="22" customFormat="false" ht="19.5" hidden="false" customHeight="true" outlineLevel="0" collapsed="false">
      <c r="A22" s="10" t="s">
        <v>228</v>
      </c>
      <c r="B22" s="10"/>
      <c r="C22" s="10"/>
      <c r="D22" s="10"/>
      <c r="E22" s="10"/>
      <c r="F22" s="10"/>
      <c r="G22" s="10"/>
      <c r="H22" s="10"/>
      <c r="I22" s="10"/>
      <c r="J22" s="10"/>
      <c r="K22" s="10"/>
      <c r="L22" s="10"/>
      <c r="M22" s="10"/>
      <c r="N22" s="10"/>
      <c r="O22" s="10"/>
      <c r="P22" s="10"/>
      <c r="Q22" s="10"/>
      <c r="R22" s="10"/>
    </row>
    <row r="23" customFormat="false" ht="78" hidden="false" customHeight="true" outlineLevel="0" collapsed="false">
      <c r="A23" s="11" t="s">
        <v>229</v>
      </c>
      <c r="B23" s="12" t="s">
        <v>228</v>
      </c>
      <c r="C23" s="12" t="s">
        <v>230</v>
      </c>
      <c r="D23" s="13"/>
      <c r="E23" s="13" t="s">
        <v>46</v>
      </c>
      <c r="F23" s="12" t="s">
        <v>231</v>
      </c>
      <c r="G23" s="12" t="s">
        <v>232</v>
      </c>
      <c r="H23" s="12" t="s">
        <v>233</v>
      </c>
      <c r="I23" s="12" t="s">
        <v>234</v>
      </c>
      <c r="J23" s="12" t="s">
        <v>234</v>
      </c>
      <c r="K23" s="12" t="s">
        <v>76</v>
      </c>
      <c r="L23" s="14" t="s">
        <v>235</v>
      </c>
      <c r="M23" s="14" t="s">
        <v>236</v>
      </c>
      <c r="N23" s="12" t="s">
        <v>237</v>
      </c>
      <c r="O23" s="15" t="s">
        <v>64</v>
      </c>
      <c r="P23" s="15" t="s">
        <v>81</v>
      </c>
      <c r="Q23" s="12" t="s">
        <v>238</v>
      </c>
      <c r="R23" s="13"/>
    </row>
    <row r="24" customFormat="false" ht="78" hidden="false" customHeight="true" outlineLevel="0" collapsed="false">
      <c r="A24" s="11" t="s">
        <v>239</v>
      </c>
      <c r="B24" s="12" t="s">
        <v>228</v>
      </c>
      <c r="C24" s="12" t="s">
        <v>240</v>
      </c>
      <c r="D24" s="13"/>
      <c r="E24" s="13" t="s">
        <v>46</v>
      </c>
      <c r="F24" s="12" t="s">
        <v>241</v>
      </c>
      <c r="G24" s="12" t="s">
        <v>242</v>
      </c>
      <c r="H24" s="12" t="s">
        <v>233</v>
      </c>
      <c r="I24" s="12" t="s">
        <v>233</v>
      </c>
      <c r="J24" s="12" t="s">
        <v>233</v>
      </c>
      <c r="K24" s="12" t="s">
        <v>76</v>
      </c>
      <c r="L24" s="14" t="s">
        <v>243</v>
      </c>
      <c r="M24" s="14" t="s">
        <v>244</v>
      </c>
      <c r="N24" s="12" t="s">
        <v>245</v>
      </c>
      <c r="O24" s="15" t="s">
        <v>64</v>
      </c>
      <c r="P24" s="15" t="s">
        <v>81</v>
      </c>
      <c r="Q24" s="12" t="s">
        <v>246</v>
      </c>
      <c r="R24" s="13"/>
    </row>
    <row r="25" customFormat="false" ht="66" hidden="false" customHeight="true" outlineLevel="0" collapsed="false">
      <c r="A25" s="11" t="s">
        <v>247</v>
      </c>
      <c r="B25" s="12" t="s">
        <v>228</v>
      </c>
      <c r="C25" s="12" t="s">
        <v>248</v>
      </c>
      <c r="D25" s="13"/>
      <c r="E25" s="13" t="s">
        <v>46</v>
      </c>
      <c r="F25" s="12" t="s">
        <v>249</v>
      </c>
      <c r="G25" s="12" t="s">
        <v>250</v>
      </c>
      <c r="H25" s="12" t="s">
        <v>233</v>
      </c>
      <c r="I25" s="12" t="s">
        <v>233</v>
      </c>
      <c r="J25" s="12" t="s">
        <v>233</v>
      </c>
      <c r="K25" s="12" t="s">
        <v>76</v>
      </c>
      <c r="L25" s="14" t="s">
        <v>251</v>
      </c>
      <c r="M25" s="14" t="s">
        <v>252</v>
      </c>
      <c r="N25" s="12" t="s">
        <v>253</v>
      </c>
      <c r="O25" s="15" t="s">
        <v>64</v>
      </c>
      <c r="P25" s="15" t="s">
        <v>81</v>
      </c>
      <c r="Q25" s="12" t="s">
        <v>254</v>
      </c>
      <c r="R25" s="13"/>
    </row>
    <row r="26" customFormat="false" ht="66" hidden="false" customHeight="true" outlineLevel="0" collapsed="false">
      <c r="A26" s="11" t="s">
        <v>255</v>
      </c>
      <c r="B26" s="12" t="s">
        <v>228</v>
      </c>
      <c r="C26" s="12" t="s">
        <v>256</v>
      </c>
      <c r="D26" s="13"/>
      <c r="E26" s="13" t="s">
        <v>46</v>
      </c>
      <c r="F26" s="12" t="s">
        <v>257</v>
      </c>
      <c r="G26" s="12" t="s">
        <v>258</v>
      </c>
      <c r="H26" s="12" t="s">
        <v>233</v>
      </c>
      <c r="I26" s="12" t="s">
        <v>233</v>
      </c>
      <c r="J26" s="12" t="s">
        <v>233</v>
      </c>
      <c r="K26" s="12" t="s">
        <v>76</v>
      </c>
      <c r="L26" s="14" t="s">
        <v>259</v>
      </c>
      <c r="M26" s="14" t="s">
        <v>260</v>
      </c>
      <c r="N26" s="12" t="s">
        <v>261</v>
      </c>
      <c r="O26" s="15" t="s">
        <v>64</v>
      </c>
      <c r="P26" s="15" t="s">
        <v>81</v>
      </c>
      <c r="Q26" s="12" t="s">
        <v>262</v>
      </c>
      <c r="R26" s="13"/>
    </row>
    <row r="27" customFormat="false" ht="66" hidden="false" customHeight="true" outlineLevel="0" collapsed="false">
      <c r="A27" s="11" t="s">
        <v>263</v>
      </c>
      <c r="B27" s="12" t="s">
        <v>228</v>
      </c>
      <c r="C27" s="12" t="s">
        <v>264</v>
      </c>
      <c r="D27" s="13"/>
      <c r="E27" s="13" t="s">
        <v>46</v>
      </c>
      <c r="F27" s="12" t="s">
        <v>265</v>
      </c>
      <c r="G27" s="12" t="s">
        <v>99</v>
      </c>
      <c r="H27" s="12" t="s">
        <v>265</v>
      </c>
      <c r="I27" s="12" t="s">
        <v>265</v>
      </c>
      <c r="J27" s="12" t="s">
        <v>265</v>
      </c>
      <c r="K27" s="12" t="s">
        <v>76</v>
      </c>
      <c r="L27" s="14" t="s">
        <v>266</v>
      </c>
      <c r="M27" s="14" t="s">
        <v>267</v>
      </c>
      <c r="N27" s="12" t="s">
        <v>268</v>
      </c>
      <c r="O27" s="15" t="s">
        <v>64</v>
      </c>
      <c r="P27" s="15" t="s">
        <v>81</v>
      </c>
      <c r="Q27" s="12" t="s">
        <v>269</v>
      </c>
      <c r="R27" s="13"/>
    </row>
    <row r="28" customFormat="false" ht="19.5" hidden="false" customHeight="true" outlineLevel="0" collapsed="false">
      <c r="A28" s="10" t="s">
        <v>270</v>
      </c>
      <c r="B28" s="10"/>
      <c r="C28" s="10"/>
      <c r="D28" s="10"/>
      <c r="E28" s="10"/>
      <c r="F28" s="10"/>
      <c r="G28" s="10"/>
      <c r="H28" s="10"/>
      <c r="I28" s="10"/>
      <c r="J28" s="10"/>
      <c r="K28" s="10"/>
      <c r="L28" s="10"/>
      <c r="M28" s="10"/>
      <c r="N28" s="10"/>
      <c r="O28" s="10"/>
      <c r="P28" s="10"/>
      <c r="Q28" s="10"/>
      <c r="R28" s="10"/>
    </row>
    <row r="29" customFormat="false" ht="78" hidden="false" customHeight="true" outlineLevel="0" collapsed="false">
      <c r="A29" s="11" t="s">
        <v>271</v>
      </c>
      <c r="B29" s="12" t="s">
        <v>270</v>
      </c>
      <c r="C29" s="12" t="s">
        <v>272</v>
      </c>
      <c r="D29" s="13"/>
      <c r="E29" s="13" t="s">
        <v>46</v>
      </c>
      <c r="F29" s="12" t="s">
        <v>273</v>
      </c>
      <c r="G29" s="12" t="s">
        <v>274</v>
      </c>
      <c r="H29" s="12" t="s">
        <v>206</v>
      </c>
      <c r="I29" s="12" t="s">
        <v>275</v>
      </c>
      <c r="J29" s="12" t="s">
        <v>275</v>
      </c>
      <c r="K29" s="12" t="s">
        <v>76</v>
      </c>
      <c r="L29" s="14" t="s">
        <v>276</v>
      </c>
      <c r="M29" s="14" t="s">
        <v>277</v>
      </c>
      <c r="N29" s="12" t="s">
        <v>278</v>
      </c>
      <c r="O29" s="15" t="s">
        <v>64</v>
      </c>
      <c r="P29" s="15" t="s">
        <v>81</v>
      </c>
      <c r="Q29" s="12" t="s">
        <v>279</v>
      </c>
      <c r="R29" s="13"/>
    </row>
    <row r="30" customFormat="false" ht="54" hidden="false" customHeight="true" outlineLevel="0" collapsed="false">
      <c r="A30" s="11" t="s">
        <v>280</v>
      </c>
      <c r="B30" s="12" t="s">
        <v>270</v>
      </c>
      <c r="C30" s="12" t="s">
        <v>281</v>
      </c>
      <c r="D30" s="13"/>
      <c r="E30" s="13" t="s">
        <v>46</v>
      </c>
      <c r="F30" s="12" t="s">
        <v>282</v>
      </c>
      <c r="G30" s="12" t="s">
        <v>283</v>
      </c>
      <c r="H30" s="12" t="s">
        <v>206</v>
      </c>
      <c r="I30" s="12" t="s">
        <v>99</v>
      </c>
      <c r="J30" s="12" t="s">
        <v>99</v>
      </c>
      <c r="K30" s="12" t="s">
        <v>76</v>
      </c>
      <c r="L30" s="14" t="s">
        <v>284</v>
      </c>
      <c r="M30" s="14" t="s">
        <v>285</v>
      </c>
      <c r="N30" s="12" t="s">
        <v>286</v>
      </c>
      <c r="O30" s="15" t="s">
        <v>64</v>
      </c>
      <c r="P30" s="15" t="s">
        <v>81</v>
      </c>
      <c r="Q30" s="12" t="s">
        <v>287</v>
      </c>
      <c r="R30" s="13"/>
    </row>
    <row r="31" customFormat="false" ht="78" hidden="false" customHeight="true" outlineLevel="0" collapsed="false">
      <c r="A31" s="11" t="s">
        <v>288</v>
      </c>
      <c r="B31" s="12" t="s">
        <v>270</v>
      </c>
      <c r="C31" s="12" t="s">
        <v>289</v>
      </c>
      <c r="D31" s="13"/>
      <c r="E31" s="13" t="s">
        <v>46</v>
      </c>
      <c r="F31" s="12" t="s">
        <v>290</v>
      </c>
      <c r="G31" s="12" t="s">
        <v>99</v>
      </c>
      <c r="H31" s="12" t="s">
        <v>290</v>
      </c>
      <c r="I31" s="12" t="s">
        <v>99</v>
      </c>
      <c r="J31" s="12" t="s">
        <v>99</v>
      </c>
      <c r="K31" s="12" t="s">
        <v>76</v>
      </c>
      <c r="L31" s="14" t="s">
        <v>291</v>
      </c>
      <c r="M31" s="14" t="s">
        <v>292</v>
      </c>
      <c r="N31" s="12" t="s">
        <v>293</v>
      </c>
      <c r="O31" s="15" t="s">
        <v>64</v>
      </c>
      <c r="P31" s="15" t="s">
        <v>81</v>
      </c>
      <c r="Q31" s="12" t="s">
        <v>294</v>
      </c>
      <c r="R31" s="13"/>
    </row>
    <row r="32" customFormat="false" ht="19.5" hidden="false" customHeight="true" outlineLevel="0" collapsed="false">
      <c r="A32" s="10" t="s">
        <v>295</v>
      </c>
      <c r="B32" s="10"/>
      <c r="C32" s="10"/>
      <c r="D32" s="10"/>
      <c r="E32" s="10"/>
      <c r="F32" s="10"/>
      <c r="G32" s="10"/>
      <c r="H32" s="10"/>
      <c r="I32" s="10"/>
      <c r="J32" s="10"/>
      <c r="K32" s="10"/>
      <c r="L32" s="10"/>
      <c r="M32" s="10"/>
      <c r="N32" s="10"/>
      <c r="O32" s="10"/>
      <c r="P32" s="10"/>
      <c r="Q32" s="10"/>
      <c r="R32" s="10"/>
    </row>
    <row r="33" customFormat="false" ht="78" hidden="false" customHeight="true" outlineLevel="0" collapsed="false">
      <c r="A33" s="11" t="s">
        <v>296</v>
      </c>
      <c r="B33" s="12" t="s">
        <v>295</v>
      </c>
      <c r="C33" s="12" t="s">
        <v>297</v>
      </c>
      <c r="D33" s="13"/>
      <c r="E33" s="13" t="s">
        <v>46</v>
      </c>
      <c r="F33" s="12" t="s">
        <v>298</v>
      </c>
      <c r="G33" s="12" t="s">
        <v>299</v>
      </c>
      <c r="H33" s="12" t="s">
        <v>300</v>
      </c>
      <c r="I33" s="12" t="s">
        <v>99</v>
      </c>
      <c r="J33" s="12" t="s">
        <v>99</v>
      </c>
      <c r="K33" s="12" t="s">
        <v>76</v>
      </c>
      <c r="L33" s="14" t="s">
        <v>301</v>
      </c>
      <c r="M33" s="14" t="s">
        <v>302</v>
      </c>
      <c r="N33" s="12" t="s">
        <v>303</v>
      </c>
      <c r="O33" s="15" t="s">
        <v>64</v>
      </c>
      <c r="P33" s="15" t="s">
        <v>81</v>
      </c>
      <c r="Q33" s="12" t="s">
        <v>304</v>
      </c>
      <c r="R33" s="13"/>
    </row>
    <row r="34" customFormat="false" ht="90" hidden="false" customHeight="true" outlineLevel="0" collapsed="false">
      <c r="A34" s="11" t="s">
        <v>305</v>
      </c>
      <c r="B34" s="12" t="s">
        <v>295</v>
      </c>
      <c r="C34" s="12" t="s">
        <v>306</v>
      </c>
      <c r="D34" s="13"/>
      <c r="E34" s="13" t="s">
        <v>46</v>
      </c>
      <c r="F34" s="12" t="s">
        <v>307</v>
      </c>
      <c r="G34" s="12" t="s">
        <v>308</v>
      </c>
      <c r="H34" s="12" t="s">
        <v>309</v>
      </c>
      <c r="I34" s="12" t="s">
        <v>310</v>
      </c>
      <c r="J34" s="12" t="s">
        <v>311</v>
      </c>
      <c r="K34" s="12" t="s">
        <v>76</v>
      </c>
      <c r="L34" s="14" t="s">
        <v>312</v>
      </c>
      <c r="M34" s="14" t="s">
        <v>313</v>
      </c>
      <c r="N34" s="12" t="s">
        <v>314</v>
      </c>
      <c r="O34" s="15" t="s">
        <v>64</v>
      </c>
      <c r="P34" s="15" t="s">
        <v>81</v>
      </c>
      <c r="Q34" s="12" t="s">
        <v>315</v>
      </c>
      <c r="R34" s="13"/>
    </row>
    <row r="35" customFormat="false" ht="78" hidden="false" customHeight="true" outlineLevel="0" collapsed="false">
      <c r="A35" s="11" t="s">
        <v>316</v>
      </c>
      <c r="B35" s="12" t="s">
        <v>295</v>
      </c>
      <c r="C35" s="12" t="s">
        <v>317</v>
      </c>
      <c r="D35" s="13"/>
      <c r="E35" s="13" t="s">
        <v>46</v>
      </c>
      <c r="F35" s="12" t="s">
        <v>318</v>
      </c>
      <c r="G35" s="12" t="s">
        <v>319</v>
      </c>
      <c r="H35" s="12" t="s">
        <v>320</v>
      </c>
      <c r="I35" s="12" t="s">
        <v>321</v>
      </c>
      <c r="J35" s="12" t="s">
        <v>321</v>
      </c>
      <c r="K35" s="12" t="s">
        <v>76</v>
      </c>
      <c r="L35" s="14" t="s">
        <v>322</v>
      </c>
      <c r="M35" s="14" t="s">
        <v>323</v>
      </c>
      <c r="N35" s="12" t="s">
        <v>324</v>
      </c>
      <c r="O35" s="15" t="s">
        <v>64</v>
      </c>
      <c r="P35" s="15" t="s">
        <v>81</v>
      </c>
      <c r="Q35" s="12" t="s">
        <v>325</v>
      </c>
      <c r="R35" s="13"/>
    </row>
    <row r="36" customFormat="false" ht="90" hidden="false" customHeight="true" outlineLevel="0" collapsed="false">
      <c r="A36" s="11" t="s">
        <v>326</v>
      </c>
      <c r="B36" s="12" t="s">
        <v>295</v>
      </c>
      <c r="C36" s="12" t="s">
        <v>327</v>
      </c>
      <c r="D36" s="13"/>
      <c r="E36" s="13" t="s">
        <v>46</v>
      </c>
      <c r="F36" s="12" t="s">
        <v>328</v>
      </c>
      <c r="G36" s="12" t="s">
        <v>329</v>
      </c>
      <c r="H36" s="12" t="s">
        <v>330</v>
      </c>
      <c r="I36" s="12" t="s">
        <v>330</v>
      </c>
      <c r="J36" s="12" t="s">
        <v>330</v>
      </c>
      <c r="K36" s="12" t="s">
        <v>76</v>
      </c>
      <c r="L36" s="14" t="s">
        <v>331</v>
      </c>
      <c r="M36" s="14" t="s">
        <v>332</v>
      </c>
      <c r="N36" s="12" t="s">
        <v>333</v>
      </c>
      <c r="O36" s="15" t="s">
        <v>64</v>
      </c>
      <c r="P36" s="15" t="s">
        <v>81</v>
      </c>
      <c r="Q36" s="12" t="s">
        <v>334</v>
      </c>
      <c r="R36" s="13"/>
    </row>
    <row r="37" customFormat="false" ht="90" hidden="false" customHeight="true" outlineLevel="0" collapsed="false">
      <c r="A37" s="11" t="s">
        <v>335</v>
      </c>
      <c r="B37" s="12" t="s">
        <v>295</v>
      </c>
      <c r="C37" s="12" t="s">
        <v>336</v>
      </c>
      <c r="D37" s="13"/>
      <c r="E37" s="13" t="s">
        <v>46</v>
      </c>
      <c r="F37" s="12" t="s">
        <v>337</v>
      </c>
      <c r="G37" s="12" t="s">
        <v>319</v>
      </c>
      <c r="H37" s="12" t="s">
        <v>290</v>
      </c>
      <c r="I37" s="12" t="s">
        <v>290</v>
      </c>
      <c r="J37" s="12" t="s">
        <v>290</v>
      </c>
      <c r="K37" s="12" t="s">
        <v>76</v>
      </c>
      <c r="L37" s="14" t="s">
        <v>338</v>
      </c>
      <c r="M37" s="14" t="s">
        <v>339</v>
      </c>
      <c r="N37" s="12" t="s">
        <v>340</v>
      </c>
      <c r="O37" s="15" t="s">
        <v>64</v>
      </c>
      <c r="P37" s="15" t="s">
        <v>81</v>
      </c>
      <c r="Q37" s="12" t="s">
        <v>341</v>
      </c>
      <c r="R37" s="13"/>
    </row>
    <row r="38" customFormat="false" ht="78" hidden="false" customHeight="true" outlineLevel="0" collapsed="false">
      <c r="A38" s="11" t="s">
        <v>342</v>
      </c>
      <c r="B38" s="12" t="s">
        <v>295</v>
      </c>
      <c r="C38" s="12" t="s">
        <v>343</v>
      </c>
      <c r="D38" s="13"/>
      <c r="E38" s="13" t="s">
        <v>46</v>
      </c>
      <c r="F38" s="12" t="s">
        <v>344</v>
      </c>
      <c r="G38" s="12" t="s">
        <v>345</v>
      </c>
      <c r="H38" s="12" t="s">
        <v>346</v>
      </c>
      <c r="I38" s="12" t="s">
        <v>99</v>
      </c>
      <c r="J38" s="12" t="s">
        <v>99</v>
      </c>
      <c r="K38" s="12" t="s">
        <v>76</v>
      </c>
      <c r="L38" s="14" t="s">
        <v>347</v>
      </c>
      <c r="M38" s="14" t="s">
        <v>348</v>
      </c>
      <c r="N38" s="12" t="s">
        <v>349</v>
      </c>
      <c r="O38" s="15" t="s">
        <v>64</v>
      </c>
      <c r="P38" s="15" t="s">
        <v>81</v>
      </c>
      <c r="Q38" s="12" t="s">
        <v>350</v>
      </c>
      <c r="R38" s="13"/>
    </row>
    <row r="39" customFormat="false" ht="19.5" hidden="false" customHeight="true" outlineLevel="0" collapsed="false">
      <c r="A39" s="10" t="s">
        <v>351</v>
      </c>
      <c r="B39" s="10"/>
      <c r="C39" s="10"/>
      <c r="D39" s="10"/>
      <c r="E39" s="10"/>
      <c r="F39" s="10"/>
      <c r="G39" s="10"/>
      <c r="H39" s="10"/>
      <c r="I39" s="10"/>
      <c r="J39" s="10"/>
      <c r="K39" s="10"/>
      <c r="L39" s="10"/>
      <c r="M39" s="10"/>
      <c r="N39" s="10"/>
      <c r="O39" s="10"/>
      <c r="P39" s="10"/>
      <c r="Q39" s="10"/>
      <c r="R39" s="10"/>
    </row>
    <row r="40" customFormat="false" ht="78" hidden="false" customHeight="true" outlineLevel="0" collapsed="false">
      <c r="A40" s="11" t="s">
        <v>352</v>
      </c>
      <c r="B40" s="12" t="s">
        <v>351</v>
      </c>
      <c r="C40" s="12" t="s">
        <v>353</v>
      </c>
      <c r="D40" s="13"/>
      <c r="E40" s="13" t="s">
        <v>46</v>
      </c>
      <c r="F40" s="12" t="s">
        <v>179</v>
      </c>
      <c r="G40" s="12" t="s">
        <v>180</v>
      </c>
      <c r="H40" s="12" t="s">
        <v>179</v>
      </c>
      <c r="I40" s="12" t="s">
        <v>179</v>
      </c>
      <c r="J40" s="12" t="s">
        <v>179</v>
      </c>
      <c r="K40" s="12" t="s">
        <v>76</v>
      </c>
      <c r="L40" s="14" t="s">
        <v>354</v>
      </c>
      <c r="M40" s="14" t="s">
        <v>355</v>
      </c>
      <c r="N40" s="12" t="s">
        <v>356</v>
      </c>
      <c r="O40" s="15" t="s">
        <v>64</v>
      </c>
      <c r="P40" s="15" t="s">
        <v>81</v>
      </c>
      <c r="Q40" s="12" t="s">
        <v>357</v>
      </c>
      <c r="R40" s="13"/>
    </row>
    <row r="41" customFormat="false" ht="78" hidden="false" customHeight="true" outlineLevel="0" collapsed="false">
      <c r="A41" s="11" t="s">
        <v>358</v>
      </c>
      <c r="B41" s="12" t="s">
        <v>351</v>
      </c>
      <c r="C41" s="12" t="s">
        <v>359</v>
      </c>
      <c r="D41" s="13"/>
      <c r="E41" s="13" t="s">
        <v>46</v>
      </c>
      <c r="F41" s="12" t="s">
        <v>360</v>
      </c>
      <c r="G41" s="12" t="s">
        <v>361</v>
      </c>
      <c r="H41" s="12" t="s">
        <v>362</v>
      </c>
      <c r="I41" s="12" t="s">
        <v>362</v>
      </c>
      <c r="J41" s="12" t="s">
        <v>150</v>
      </c>
      <c r="K41" s="12" t="s">
        <v>76</v>
      </c>
      <c r="L41" s="14" t="s">
        <v>363</v>
      </c>
      <c r="M41" s="14" t="s">
        <v>364</v>
      </c>
      <c r="N41" s="12" t="s">
        <v>365</v>
      </c>
      <c r="O41" s="15" t="s">
        <v>64</v>
      </c>
      <c r="P41" s="15" t="s">
        <v>81</v>
      </c>
      <c r="Q41" s="12" t="s">
        <v>366</v>
      </c>
      <c r="R41" s="13"/>
    </row>
    <row r="42" customFormat="false" ht="66" hidden="false" customHeight="true" outlineLevel="0" collapsed="false">
      <c r="A42" s="11" t="s">
        <v>367</v>
      </c>
      <c r="B42" s="12" t="s">
        <v>351</v>
      </c>
      <c r="C42" s="12" t="s">
        <v>368</v>
      </c>
      <c r="D42" s="13"/>
      <c r="E42" s="13" t="s">
        <v>46</v>
      </c>
      <c r="F42" s="12" t="s">
        <v>369</v>
      </c>
      <c r="G42" s="12" t="s">
        <v>345</v>
      </c>
      <c r="H42" s="12" t="s">
        <v>179</v>
      </c>
      <c r="I42" s="12" t="s">
        <v>179</v>
      </c>
      <c r="J42" s="12" t="s">
        <v>179</v>
      </c>
      <c r="K42" s="12" t="s">
        <v>76</v>
      </c>
      <c r="L42" s="14" t="s">
        <v>370</v>
      </c>
      <c r="M42" s="14" t="s">
        <v>371</v>
      </c>
      <c r="N42" s="12" t="s">
        <v>372</v>
      </c>
      <c r="O42" s="15" t="s">
        <v>64</v>
      </c>
      <c r="P42" s="15" t="s">
        <v>81</v>
      </c>
      <c r="Q42" s="12" t="s">
        <v>373</v>
      </c>
      <c r="R42" s="13"/>
    </row>
    <row r="43" customFormat="false" ht="54" hidden="false" customHeight="true" outlineLevel="0" collapsed="false">
      <c r="A43" s="11" t="s">
        <v>374</v>
      </c>
      <c r="B43" s="12" t="s">
        <v>351</v>
      </c>
      <c r="C43" s="12" t="s">
        <v>375</v>
      </c>
      <c r="D43" s="13"/>
      <c r="E43" s="13" t="s">
        <v>46</v>
      </c>
      <c r="F43" s="12" t="s">
        <v>141</v>
      </c>
      <c r="G43" s="12" t="s">
        <v>99</v>
      </c>
      <c r="H43" s="12" t="s">
        <v>141</v>
      </c>
      <c r="I43" s="12" t="s">
        <v>141</v>
      </c>
      <c r="J43" s="12" t="s">
        <v>141</v>
      </c>
      <c r="K43" s="12" t="s">
        <v>76</v>
      </c>
      <c r="L43" s="14" t="s">
        <v>376</v>
      </c>
      <c r="M43" s="14" t="s">
        <v>377</v>
      </c>
      <c r="N43" s="12" t="s">
        <v>378</v>
      </c>
      <c r="O43" s="15" t="s">
        <v>64</v>
      </c>
      <c r="P43" s="15" t="s">
        <v>81</v>
      </c>
      <c r="Q43" s="12" t="s">
        <v>379</v>
      </c>
      <c r="R43" s="13"/>
    </row>
    <row r="44" customFormat="false" ht="78" hidden="false" customHeight="true" outlineLevel="0" collapsed="false">
      <c r="A44" s="11" t="s">
        <v>380</v>
      </c>
      <c r="B44" s="12" t="s">
        <v>351</v>
      </c>
      <c r="C44" s="12" t="s">
        <v>381</v>
      </c>
      <c r="D44" s="13"/>
      <c r="E44" s="13" t="s">
        <v>46</v>
      </c>
      <c r="F44" s="12" t="s">
        <v>382</v>
      </c>
      <c r="G44" s="12" t="s">
        <v>99</v>
      </c>
      <c r="H44" s="12" t="s">
        <v>383</v>
      </c>
      <c r="I44" s="12" t="s">
        <v>383</v>
      </c>
      <c r="J44" s="12" t="s">
        <v>383</v>
      </c>
      <c r="K44" s="12" t="s">
        <v>76</v>
      </c>
      <c r="L44" s="14" t="s">
        <v>384</v>
      </c>
      <c r="M44" s="14" t="s">
        <v>385</v>
      </c>
      <c r="N44" s="12" t="s">
        <v>386</v>
      </c>
      <c r="O44" s="15" t="s">
        <v>64</v>
      </c>
      <c r="P44" s="15" t="s">
        <v>81</v>
      </c>
      <c r="Q44" s="12" t="s">
        <v>387</v>
      </c>
      <c r="R44" s="13"/>
    </row>
    <row r="45" customFormat="false" ht="66" hidden="false" customHeight="true" outlineLevel="0" collapsed="false">
      <c r="A45" s="11" t="s">
        <v>388</v>
      </c>
      <c r="B45" s="12" t="s">
        <v>351</v>
      </c>
      <c r="C45" s="12" t="s">
        <v>389</v>
      </c>
      <c r="D45" s="13"/>
      <c r="E45" s="13" t="s">
        <v>46</v>
      </c>
      <c r="F45" s="12" t="s">
        <v>179</v>
      </c>
      <c r="G45" s="12" t="s">
        <v>99</v>
      </c>
      <c r="H45" s="12" t="s">
        <v>179</v>
      </c>
      <c r="I45" s="12" t="s">
        <v>179</v>
      </c>
      <c r="J45" s="12" t="s">
        <v>179</v>
      </c>
      <c r="K45" s="12" t="s">
        <v>76</v>
      </c>
      <c r="L45" s="14" t="s">
        <v>390</v>
      </c>
      <c r="M45" s="14" t="s">
        <v>391</v>
      </c>
      <c r="N45" s="12" t="s">
        <v>392</v>
      </c>
      <c r="O45" s="15" t="s">
        <v>64</v>
      </c>
      <c r="P45" s="15" t="s">
        <v>81</v>
      </c>
      <c r="Q45" s="12" t="s">
        <v>393</v>
      </c>
      <c r="R45" s="13"/>
    </row>
    <row r="46" customFormat="false" ht="78" hidden="false" customHeight="true" outlineLevel="0" collapsed="false">
      <c r="A46" s="11" t="s">
        <v>394</v>
      </c>
      <c r="B46" s="12" t="s">
        <v>351</v>
      </c>
      <c r="C46" s="12" t="s">
        <v>395</v>
      </c>
      <c r="D46" s="13"/>
      <c r="E46" s="13" t="s">
        <v>46</v>
      </c>
      <c r="F46" s="12" t="s">
        <v>179</v>
      </c>
      <c r="G46" s="12" t="s">
        <v>396</v>
      </c>
      <c r="H46" s="12" t="s">
        <v>290</v>
      </c>
      <c r="I46" s="12" t="s">
        <v>179</v>
      </c>
      <c r="J46" s="12" t="s">
        <v>179</v>
      </c>
      <c r="K46" s="12" t="s">
        <v>76</v>
      </c>
      <c r="L46" s="14" t="s">
        <v>397</v>
      </c>
      <c r="M46" s="14" t="s">
        <v>398</v>
      </c>
      <c r="N46" s="12" t="s">
        <v>399</v>
      </c>
      <c r="O46" s="15" t="s">
        <v>64</v>
      </c>
      <c r="P46" s="15" t="s">
        <v>81</v>
      </c>
      <c r="Q46" s="12" t="s">
        <v>400</v>
      </c>
      <c r="R46" s="13"/>
    </row>
    <row r="47" customFormat="false" ht="90" hidden="false" customHeight="true" outlineLevel="0" collapsed="false">
      <c r="A47" s="11" t="s">
        <v>401</v>
      </c>
      <c r="B47" s="12" t="s">
        <v>351</v>
      </c>
      <c r="C47" s="12" t="s">
        <v>402</v>
      </c>
      <c r="D47" s="13"/>
      <c r="E47" s="13" t="s">
        <v>46</v>
      </c>
      <c r="F47" s="12" t="s">
        <v>403</v>
      </c>
      <c r="G47" s="12" t="s">
        <v>404</v>
      </c>
      <c r="H47" s="12" t="s">
        <v>405</v>
      </c>
      <c r="I47" s="12" t="s">
        <v>406</v>
      </c>
      <c r="J47" s="12" t="s">
        <v>407</v>
      </c>
      <c r="K47" s="12" t="s">
        <v>408</v>
      </c>
      <c r="L47" s="14" t="s">
        <v>409</v>
      </c>
      <c r="M47" s="14" t="s">
        <v>410</v>
      </c>
      <c r="N47" s="12" t="s">
        <v>411</v>
      </c>
      <c r="O47" s="15" t="s">
        <v>64</v>
      </c>
      <c r="P47" s="15" t="s">
        <v>81</v>
      </c>
      <c r="Q47" s="12" t="s">
        <v>412</v>
      </c>
      <c r="R47" s="13"/>
    </row>
    <row r="48" customFormat="false" ht="19.5" hidden="false" customHeight="true" outlineLevel="0" collapsed="false">
      <c r="A48" s="10" t="s">
        <v>413</v>
      </c>
      <c r="B48" s="10"/>
      <c r="C48" s="10"/>
      <c r="D48" s="10"/>
      <c r="E48" s="10"/>
      <c r="F48" s="10"/>
      <c r="G48" s="10"/>
      <c r="H48" s="10"/>
      <c r="I48" s="10"/>
      <c r="J48" s="10"/>
      <c r="K48" s="10"/>
      <c r="L48" s="10"/>
      <c r="M48" s="10"/>
      <c r="N48" s="10"/>
      <c r="O48" s="10"/>
      <c r="P48" s="10"/>
      <c r="Q48" s="10"/>
      <c r="R48" s="10"/>
    </row>
    <row r="49" customFormat="false" ht="54" hidden="false" customHeight="true" outlineLevel="0" collapsed="false">
      <c r="A49" s="11" t="s">
        <v>414</v>
      </c>
      <c r="B49" s="12" t="s">
        <v>413</v>
      </c>
      <c r="C49" s="12" t="s">
        <v>415</v>
      </c>
      <c r="D49" s="13"/>
      <c r="E49" s="13" t="s">
        <v>46</v>
      </c>
      <c r="F49" s="12" t="s">
        <v>416</v>
      </c>
      <c r="G49" s="12" t="s">
        <v>417</v>
      </c>
      <c r="H49" s="12" t="s">
        <v>290</v>
      </c>
      <c r="I49" s="12" t="s">
        <v>179</v>
      </c>
      <c r="J49" s="12" t="s">
        <v>179</v>
      </c>
      <c r="K49" s="12" t="s">
        <v>408</v>
      </c>
      <c r="L49" s="14" t="s">
        <v>418</v>
      </c>
      <c r="M49" s="14" t="s">
        <v>419</v>
      </c>
      <c r="N49" s="12" t="s">
        <v>420</v>
      </c>
      <c r="O49" s="15" t="s">
        <v>64</v>
      </c>
      <c r="P49" s="15" t="s">
        <v>81</v>
      </c>
      <c r="Q49" s="12" t="s">
        <v>421</v>
      </c>
      <c r="R49" s="13"/>
    </row>
    <row r="50" customFormat="false" ht="66" hidden="false" customHeight="true" outlineLevel="0" collapsed="false">
      <c r="A50" s="11" t="s">
        <v>422</v>
      </c>
      <c r="B50" s="12" t="s">
        <v>413</v>
      </c>
      <c r="C50" s="12" t="s">
        <v>423</v>
      </c>
      <c r="D50" s="13"/>
      <c r="E50" s="13" t="s">
        <v>46</v>
      </c>
      <c r="F50" s="12" t="s">
        <v>424</v>
      </c>
      <c r="G50" s="12" t="s">
        <v>425</v>
      </c>
      <c r="H50" s="12" t="s">
        <v>290</v>
      </c>
      <c r="I50" s="12" t="s">
        <v>426</v>
      </c>
      <c r="J50" s="12" t="s">
        <v>426</v>
      </c>
      <c r="K50" s="12" t="s">
        <v>408</v>
      </c>
      <c r="L50" s="14" t="s">
        <v>427</v>
      </c>
      <c r="M50" s="14" t="s">
        <v>428</v>
      </c>
      <c r="N50" s="12" t="s">
        <v>429</v>
      </c>
      <c r="O50" s="15" t="s">
        <v>64</v>
      </c>
      <c r="P50" s="15" t="s">
        <v>81</v>
      </c>
      <c r="Q50" s="12" t="s">
        <v>430</v>
      </c>
      <c r="R50" s="13"/>
    </row>
    <row r="51" customFormat="false" ht="66" hidden="false" customHeight="true" outlineLevel="0" collapsed="false">
      <c r="A51" s="11" t="s">
        <v>431</v>
      </c>
      <c r="B51" s="12" t="s">
        <v>413</v>
      </c>
      <c r="C51" s="12" t="s">
        <v>432</v>
      </c>
      <c r="D51" s="13"/>
      <c r="E51" s="13" t="s">
        <v>46</v>
      </c>
      <c r="F51" s="12" t="s">
        <v>433</v>
      </c>
      <c r="G51" s="12" t="s">
        <v>434</v>
      </c>
      <c r="H51" s="12" t="s">
        <v>435</v>
      </c>
      <c r="I51" s="12" t="s">
        <v>426</v>
      </c>
      <c r="J51" s="12" t="s">
        <v>426</v>
      </c>
      <c r="K51" s="12" t="s">
        <v>408</v>
      </c>
      <c r="L51" s="14" t="s">
        <v>436</v>
      </c>
      <c r="M51" s="14" t="s">
        <v>437</v>
      </c>
      <c r="N51" s="12" t="s">
        <v>438</v>
      </c>
      <c r="O51" s="15" t="s">
        <v>64</v>
      </c>
      <c r="P51" s="15" t="s">
        <v>81</v>
      </c>
      <c r="Q51" s="12" t="s">
        <v>439</v>
      </c>
      <c r="R51" s="13"/>
    </row>
    <row r="52" customFormat="false" ht="78" hidden="false" customHeight="true" outlineLevel="0" collapsed="false">
      <c r="A52" s="11" t="s">
        <v>440</v>
      </c>
      <c r="B52" s="12" t="s">
        <v>413</v>
      </c>
      <c r="C52" s="12" t="s">
        <v>441</v>
      </c>
      <c r="D52" s="13"/>
      <c r="E52" s="13" t="s">
        <v>46</v>
      </c>
      <c r="F52" s="12" t="s">
        <v>442</v>
      </c>
      <c r="G52" s="12" t="s">
        <v>443</v>
      </c>
      <c r="H52" s="12" t="s">
        <v>444</v>
      </c>
      <c r="I52" s="12" t="s">
        <v>445</v>
      </c>
      <c r="J52" s="12" t="s">
        <v>446</v>
      </c>
      <c r="K52" s="12" t="s">
        <v>408</v>
      </c>
      <c r="L52" s="14" t="s">
        <v>447</v>
      </c>
      <c r="M52" s="14" t="s">
        <v>448</v>
      </c>
      <c r="N52" s="12" t="s">
        <v>449</v>
      </c>
      <c r="O52" s="15" t="s">
        <v>64</v>
      </c>
      <c r="P52" s="15" t="s">
        <v>81</v>
      </c>
      <c r="Q52" s="12" t="s">
        <v>450</v>
      </c>
      <c r="R52" s="13"/>
    </row>
    <row r="53" customFormat="false" ht="78" hidden="false" customHeight="true" outlineLevel="0" collapsed="false">
      <c r="A53" s="11" t="s">
        <v>451</v>
      </c>
      <c r="B53" s="12" t="s">
        <v>413</v>
      </c>
      <c r="C53" s="12" t="s">
        <v>452</v>
      </c>
      <c r="D53" s="13"/>
      <c r="E53" s="13" t="s">
        <v>46</v>
      </c>
      <c r="F53" s="12" t="s">
        <v>453</v>
      </c>
      <c r="G53" s="12" t="s">
        <v>454</v>
      </c>
      <c r="H53" s="12" t="s">
        <v>455</v>
      </c>
      <c r="I53" s="12" t="s">
        <v>456</v>
      </c>
      <c r="J53" s="12" t="s">
        <v>456</v>
      </c>
      <c r="K53" s="12" t="s">
        <v>408</v>
      </c>
      <c r="L53" s="14" t="s">
        <v>457</v>
      </c>
      <c r="M53" s="14" t="s">
        <v>458</v>
      </c>
      <c r="N53" s="12" t="s">
        <v>459</v>
      </c>
      <c r="O53" s="15" t="s">
        <v>64</v>
      </c>
      <c r="P53" s="15" t="s">
        <v>81</v>
      </c>
      <c r="Q53" s="12" t="s">
        <v>460</v>
      </c>
      <c r="R53" s="13"/>
    </row>
    <row r="54" customFormat="false" ht="66" hidden="false" customHeight="true" outlineLevel="0" collapsed="false">
      <c r="A54" s="11" t="s">
        <v>461</v>
      </c>
      <c r="B54" s="12" t="s">
        <v>413</v>
      </c>
      <c r="C54" s="12" t="s">
        <v>462</v>
      </c>
      <c r="D54" s="13"/>
      <c r="E54" s="13" t="s">
        <v>46</v>
      </c>
      <c r="F54" s="12" t="s">
        <v>463</v>
      </c>
      <c r="G54" s="12" t="s">
        <v>99</v>
      </c>
      <c r="H54" s="12" t="s">
        <v>464</v>
      </c>
      <c r="I54" s="12" t="s">
        <v>465</v>
      </c>
      <c r="J54" s="12" t="s">
        <v>465</v>
      </c>
      <c r="K54" s="12" t="s">
        <v>408</v>
      </c>
      <c r="L54" s="14" t="s">
        <v>466</v>
      </c>
      <c r="M54" s="14" t="s">
        <v>467</v>
      </c>
      <c r="N54" s="12" t="s">
        <v>468</v>
      </c>
      <c r="O54" s="15" t="s">
        <v>64</v>
      </c>
      <c r="P54" s="15" t="s">
        <v>81</v>
      </c>
      <c r="Q54" s="12" t="s">
        <v>469</v>
      </c>
      <c r="R54" s="13"/>
    </row>
    <row r="55" customFormat="false" ht="78" hidden="false" customHeight="true" outlineLevel="0" collapsed="false">
      <c r="A55" s="11" t="s">
        <v>470</v>
      </c>
      <c r="B55" s="12" t="s">
        <v>413</v>
      </c>
      <c r="C55" s="12" t="s">
        <v>471</v>
      </c>
      <c r="D55" s="13"/>
      <c r="E55" s="13" t="s">
        <v>46</v>
      </c>
      <c r="F55" s="12" t="s">
        <v>472</v>
      </c>
      <c r="G55" s="12" t="s">
        <v>473</v>
      </c>
      <c r="H55" s="12" t="s">
        <v>206</v>
      </c>
      <c r="I55" s="12" t="s">
        <v>206</v>
      </c>
      <c r="J55" s="12" t="s">
        <v>206</v>
      </c>
      <c r="K55" s="12" t="s">
        <v>408</v>
      </c>
      <c r="L55" s="14" t="s">
        <v>474</v>
      </c>
      <c r="M55" s="14" t="s">
        <v>475</v>
      </c>
      <c r="N55" s="12" t="s">
        <v>476</v>
      </c>
      <c r="O55" s="15" t="s">
        <v>64</v>
      </c>
      <c r="P55" s="15" t="s">
        <v>81</v>
      </c>
      <c r="Q55" s="12" t="s">
        <v>477</v>
      </c>
      <c r="R55" s="13"/>
    </row>
    <row r="56" customFormat="false" ht="78" hidden="false" customHeight="true" outlineLevel="0" collapsed="false">
      <c r="A56" s="11" t="s">
        <v>478</v>
      </c>
      <c r="B56" s="12" t="s">
        <v>413</v>
      </c>
      <c r="C56" s="12" t="s">
        <v>479</v>
      </c>
      <c r="D56" s="13"/>
      <c r="E56" s="13" t="s">
        <v>46</v>
      </c>
      <c r="F56" s="12" t="s">
        <v>480</v>
      </c>
      <c r="G56" s="12" t="s">
        <v>345</v>
      </c>
      <c r="H56" s="12" t="s">
        <v>481</v>
      </c>
      <c r="I56" s="12" t="s">
        <v>99</v>
      </c>
      <c r="J56" s="12" t="s">
        <v>99</v>
      </c>
      <c r="K56" s="12" t="s">
        <v>482</v>
      </c>
      <c r="L56" s="14" t="s">
        <v>483</v>
      </c>
      <c r="M56" s="14" t="s">
        <v>484</v>
      </c>
      <c r="N56" s="12" t="s">
        <v>485</v>
      </c>
      <c r="O56" s="15" t="s">
        <v>64</v>
      </c>
      <c r="P56" s="15" t="s">
        <v>81</v>
      </c>
      <c r="Q56" s="12" t="s">
        <v>486</v>
      </c>
      <c r="R56" s="13"/>
    </row>
    <row r="57" customFormat="false" ht="19.5" hidden="false" customHeight="true" outlineLevel="0" collapsed="false">
      <c r="A57" s="10" t="s">
        <v>487</v>
      </c>
      <c r="B57" s="10"/>
      <c r="C57" s="10"/>
      <c r="D57" s="10"/>
      <c r="E57" s="10"/>
      <c r="F57" s="10"/>
      <c r="G57" s="10"/>
      <c r="H57" s="10"/>
      <c r="I57" s="10"/>
      <c r="J57" s="10"/>
      <c r="K57" s="10"/>
      <c r="L57" s="10"/>
      <c r="M57" s="10"/>
      <c r="N57" s="10"/>
      <c r="O57" s="10"/>
      <c r="P57" s="10"/>
      <c r="Q57" s="10"/>
      <c r="R57" s="10"/>
    </row>
    <row r="58" customFormat="false" ht="102" hidden="false" customHeight="true" outlineLevel="0" collapsed="false">
      <c r="A58" s="11" t="s">
        <v>488</v>
      </c>
      <c r="B58" s="12" t="s">
        <v>487</v>
      </c>
      <c r="C58" s="12" t="s">
        <v>489</v>
      </c>
      <c r="D58" s="13"/>
      <c r="E58" s="13" t="s">
        <v>46</v>
      </c>
      <c r="F58" s="12" t="s">
        <v>490</v>
      </c>
      <c r="G58" s="12" t="s">
        <v>491</v>
      </c>
      <c r="H58" s="12" t="s">
        <v>99</v>
      </c>
      <c r="I58" s="12" t="s">
        <v>99</v>
      </c>
      <c r="J58" s="12" t="s">
        <v>99</v>
      </c>
      <c r="K58" s="12" t="s">
        <v>492</v>
      </c>
      <c r="L58" s="14" t="s">
        <v>493</v>
      </c>
      <c r="M58" s="14" t="s">
        <v>494</v>
      </c>
      <c r="N58" s="12" t="s">
        <v>495</v>
      </c>
      <c r="O58" s="15" t="s">
        <v>64</v>
      </c>
      <c r="P58" s="15" t="s">
        <v>81</v>
      </c>
      <c r="Q58" s="12" t="s">
        <v>496</v>
      </c>
      <c r="R58" s="13"/>
    </row>
    <row r="59" customFormat="false" ht="90" hidden="false" customHeight="true" outlineLevel="0" collapsed="false">
      <c r="A59" s="11" t="s">
        <v>497</v>
      </c>
      <c r="B59" s="12" t="s">
        <v>487</v>
      </c>
      <c r="C59" s="12" t="s">
        <v>498</v>
      </c>
      <c r="D59" s="13"/>
      <c r="E59" s="13" t="s">
        <v>46</v>
      </c>
      <c r="F59" s="12" t="s">
        <v>499</v>
      </c>
      <c r="G59" s="12" t="s">
        <v>500</v>
      </c>
      <c r="H59" s="12" t="s">
        <v>501</v>
      </c>
      <c r="I59" s="12" t="s">
        <v>99</v>
      </c>
      <c r="J59" s="12" t="s">
        <v>99</v>
      </c>
      <c r="K59" s="12" t="s">
        <v>118</v>
      </c>
      <c r="L59" s="14" t="s">
        <v>502</v>
      </c>
      <c r="M59" s="14" t="s">
        <v>503</v>
      </c>
      <c r="N59" s="12" t="s">
        <v>504</v>
      </c>
      <c r="O59" s="15" t="s">
        <v>64</v>
      </c>
      <c r="P59" s="15" t="s">
        <v>81</v>
      </c>
      <c r="Q59" s="12" t="s">
        <v>505</v>
      </c>
      <c r="R59" s="13"/>
    </row>
    <row r="60" customFormat="false" ht="90" hidden="false" customHeight="true" outlineLevel="0" collapsed="false">
      <c r="A60" s="11" t="s">
        <v>506</v>
      </c>
      <c r="B60" s="12" t="s">
        <v>487</v>
      </c>
      <c r="C60" s="12" t="s">
        <v>507</v>
      </c>
      <c r="D60" s="13"/>
      <c r="E60" s="13" t="s">
        <v>46</v>
      </c>
      <c r="F60" s="12" t="s">
        <v>508</v>
      </c>
      <c r="G60" s="12" t="s">
        <v>509</v>
      </c>
      <c r="H60" s="12" t="s">
        <v>510</v>
      </c>
      <c r="I60" s="12" t="s">
        <v>99</v>
      </c>
      <c r="J60" s="12" t="s">
        <v>99</v>
      </c>
      <c r="K60" s="12" t="s">
        <v>76</v>
      </c>
      <c r="L60" s="14" t="s">
        <v>511</v>
      </c>
      <c r="M60" s="14" t="s">
        <v>512</v>
      </c>
      <c r="N60" s="12" t="s">
        <v>513</v>
      </c>
      <c r="O60" s="15" t="s">
        <v>64</v>
      </c>
      <c r="P60" s="15" t="s">
        <v>81</v>
      </c>
      <c r="Q60" s="12" t="s">
        <v>514</v>
      </c>
      <c r="R60" s="13"/>
    </row>
    <row r="61" customFormat="false" ht="78" hidden="false" customHeight="true" outlineLevel="0" collapsed="false">
      <c r="A61" s="11" t="s">
        <v>515</v>
      </c>
      <c r="B61" s="12" t="s">
        <v>487</v>
      </c>
      <c r="C61" s="12" t="s">
        <v>516</v>
      </c>
      <c r="D61" s="13"/>
      <c r="E61" s="13" t="s">
        <v>46</v>
      </c>
      <c r="F61" s="12" t="s">
        <v>517</v>
      </c>
      <c r="G61" s="12" t="s">
        <v>518</v>
      </c>
      <c r="H61" s="12" t="s">
        <v>99</v>
      </c>
      <c r="I61" s="12" t="s">
        <v>99</v>
      </c>
      <c r="J61" s="12" t="s">
        <v>99</v>
      </c>
      <c r="K61" s="12" t="s">
        <v>118</v>
      </c>
      <c r="L61" s="14" t="s">
        <v>519</v>
      </c>
      <c r="M61" s="14" t="s">
        <v>520</v>
      </c>
      <c r="N61" s="12" t="s">
        <v>521</v>
      </c>
      <c r="O61" s="15" t="s">
        <v>64</v>
      </c>
      <c r="P61" s="15" t="s">
        <v>81</v>
      </c>
      <c r="Q61" s="12" t="s">
        <v>522</v>
      </c>
      <c r="R61" s="13"/>
    </row>
    <row r="62" customFormat="false" ht="54" hidden="false" customHeight="true" outlineLevel="0" collapsed="false">
      <c r="A62" s="11" t="s">
        <v>523</v>
      </c>
      <c r="B62" s="12" t="s">
        <v>487</v>
      </c>
      <c r="C62" s="12" t="s">
        <v>524</v>
      </c>
      <c r="D62" s="13"/>
      <c r="E62" s="13" t="s">
        <v>46</v>
      </c>
      <c r="F62" s="12" t="s">
        <v>525</v>
      </c>
      <c r="G62" s="12" t="s">
        <v>526</v>
      </c>
      <c r="H62" s="12" t="s">
        <v>99</v>
      </c>
      <c r="I62" s="12" t="s">
        <v>99</v>
      </c>
      <c r="J62" s="12" t="s">
        <v>99</v>
      </c>
      <c r="K62" s="12" t="s">
        <v>118</v>
      </c>
      <c r="L62" s="14" t="s">
        <v>527</v>
      </c>
      <c r="M62" s="14" t="s">
        <v>528</v>
      </c>
      <c r="N62" s="12" t="s">
        <v>529</v>
      </c>
      <c r="O62" s="15" t="s">
        <v>64</v>
      </c>
      <c r="P62" s="15" t="s">
        <v>81</v>
      </c>
      <c r="Q62" s="12" t="s">
        <v>530</v>
      </c>
      <c r="R62" s="13"/>
    </row>
    <row r="63" customFormat="false" ht="54" hidden="false" customHeight="true" outlineLevel="0" collapsed="false">
      <c r="A63" s="11" t="s">
        <v>531</v>
      </c>
      <c r="B63" s="12" t="s">
        <v>487</v>
      </c>
      <c r="C63" s="12" t="s">
        <v>532</v>
      </c>
      <c r="D63" s="13"/>
      <c r="E63" s="13" t="s">
        <v>46</v>
      </c>
      <c r="F63" s="12" t="s">
        <v>533</v>
      </c>
      <c r="G63" s="12" t="s">
        <v>534</v>
      </c>
      <c r="H63" s="12" t="s">
        <v>535</v>
      </c>
      <c r="I63" s="12" t="s">
        <v>99</v>
      </c>
      <c r="J63" s="12" t="s">
        <v>99</v>
      </c>
      <c r="K63" s="12" t="s">
        <v>118</v>
      </c>
      <c r="L63" s="14" t="s">
        <v>536</v>
      </c>
      <c r="M63" s="14" t="s">
        <v>537</v>
      </c>
      <c r="N63" s="12" t="s">
        <v>538</v>
      </c>
      <c r="O63" s="15" t="s">
        <v>64</v>
      </c>
      <c r="P63" s="15" t="s">
        <v>81</v>
      </c>
      <c r="Q63" s="12" t="s">
        <v>539</v>
      </c>
      <c r="R63" s="13"/>
    </row>
    <row r="64" customFormat="false" ht="19.5" hidden="false" customHeight="true" outlineLevel="0" collapsed="false">
      <c r="A64" s="10" t="s">
        <v>540</v>
      </c>
      <c r="B64" s="10"/>
      <c r="C64" s="10"/>
      <c r="D64" s="10"/>
      <c r="E64" s="10"/>
      <c r="F64" s="10"/>
      <c r="G64" s="10"/>
      <c r="H64" s="10"/>
      <c r="I64" s="10"/>
      <c r="J64" s="10"/>
      <c r="K64" s="10"/>
      <c r="L64" s="10"/>
      <c r="M64" s="10"/>
      <c r="N64" s="10"/>
      <c r="O64" s="10"/>
      <c r="P64" s="10"/>
      <c r="Q64" s="10"/>
      <c r="R64" s="10"/>
    </row>
    <row r="65" customFormat="false" ht="90" hidden="false" customHeight="true" outlineLevel="0" collapsed="false">
      <c r="A65" s="11" t="s">
        <v>541</v>
      </c>
      <c r="B65" s="12" t="s">
        <v>540</v>
      </c>
      <c r="C65" s="12" t="s">
        <v>542</v>
      </c>
      <c r="D65" s="13"/>
      <c r="E65" s="13" t="s">
        <v>46</v>
      </c>
      <c r="F65" s="12" t="s">
        <v>543</v>
      </c>
      <c r="G65" s="12" t="s">
        <v>180</v>
      </c>
      <c r="H65" s="12" t="s">
        <v>179</v>
      </c>
      <c r="I65" s="12" t="s">
        <v>179</v>
      </c>
      <c r="J65" s="12" t="s">
        <v>179</v>
      </c>
      <c r="K65" s="12" t="s">
        <v>76</v>
      </c>
      <c r="L65" s="14" t="s">
        <v>544</v>
      </c>
      <c r="M65" s="14" t="s">
        <v>545</v>
      </c>
      <c r="N65" s="12" t="s">
        <v>546</v>
      </c>
      <c r="O65" s="15" t="s">
        <v>64</v>
      </c>
      <c r="P65" s="15" t="s">
        <v>81</v>
      </c>
      <c r="Q65" s="12" t="s">
        <v>547</v>
      </c>
      <c r="R65" s="13"/>
    </row>
    <row r="66" customFormat="false" ht="54" hidden="false" customHeight="true" outlineLevel="0" collapsed="false">
      <c r="A66" s="11" t="s">
        <v>548</v>
      </c>
      <c r="B66" s="12" t="s">
        <v>540</v>
      </c>
      <c r="C66" s="12" t="s">
        <v>549</v>
      </c>
      <c r="D66" s="13"/>
      <c r="E66" s="13" t="s">
        <v>46</v>
      </c>
      <c r="F66" s="12" t="s">
        <v>179</v>
      </c>
      <c r="G66" s="12" t="s">
        <v>180</v>
      </c>
      <c r="H66" s="12" t="s">
        <v>179</v>
      </c>
      <c r="I66" s="12" t="s">
        <v>179</v>
      </c>
      <c r="J66" s="12" t="s">
        <v>179</v>
      </c>
      <c r="K66" s="12" t="s">
        <v>76</v>
      </c>
      <c r="L66" s="14" t="s">
        <v>550</v>
      </c>
      <c r="M66" s="14" t="s">
        <v>551</v>
      </c>
      <c r="N66" s="12" t="s">
        <v>552</v>
      </c>
      <c r="O66" s="15" t="s">
        <v>64</v>
      </c>
      <c r="P66" s="15" t="s">
        <v>81</v>
      </c>
      <c r="Q66" s="12" t="s">
        <v>553</v>
      </c>
      <c r="R66" s="13"/>
    </row>
    <row r="67" customFormat="false" ht="54" hidden="false" customHeight="true" outlineLevel="0" collapsed="false">
      <c r="A67" s="11" t="s">
        <v>554</v>
      </c>
      <c r="B67" s="12" t="s">
        <v>540</v>
      </c>
      <c r="C67" s="12" t="s">
        <v>555</v>
      </c>
      <c r="D67" s="13"/>
      <c r="E67" s="13" t="s">
        <v>46</v>
      </c>
      <c r="F67" s="12" t="s">
        <v>556</v>
      </c>
      <c r="G67" s="12" t="s">
        <v>99</v>
      </c>
      <c r="H67" s="12" t="s">
        <v>383</v>
      </c>
      <c r="I67" s="12" t="s">
        <v>383</v>
      </c>
      <c r="J67" s="12" t="s">
        <v>383</v>
      </c>
      <c r="K67" s="12" t="s">
        <v>76</v>
      </c>
      <c r="L67" s="14" t="s">
        <v>557</v>
      </c>
      <c r="M67" s="14" t="s">
        <v>558</v>
      </c>
      <c r="N67" s="12" t="s">
        <v>559</v>
      </c>
      <c r="O67" s="15" t="s">
        <v>64</v>
      </c>
      <c r="P67" s="15" t="s">
        <v>81</v>
      </c>
      <c r="Q67" s="12" t="s">
        <v>560</v>
      </c>
      <c r="R67" s="13"/>
    </row>
    <row r="68" customFormat="false" ht="66" hidden="false" customHeight="true" outlineLevel="0" collapsed="false">
      <c r="A68" s="11" t="s">
        <v>561</v>
      </c>
      <c r="B68" s="12" t="s">
        <v>540</v>
      </c>
      <c r="C68" s="12" t="s">
        <v>562</v>
      </c>
      <c r="D68" s="13"/>
      <c r="E68" s="13" t="s">
        <v>46</v>
      </c>
      <c r="F68" s="12" t="s">
        <v>563</v>
      </c>
      <c r="G68" s="12" t="s">
        <v>564</v>
      </c>
      <c r="H68" s="12" t="s">
        <v>563</v>
      </c>
      <c r="I68" s="12" t="s">
        <v>563</v>
      </c>
      <c r="J68" s="12" t="s">
        <v>563</v>
      </c>
      <c r="K68" s="12" t="s">
        <v>76</v>
      </c>
      <c r="L68" s="14" t="s">
        <v>565</v>
      </c>
      <c r="M68" s="14" t="s">
        <v>566</v>
      </c>
      <c r="N68" s="12" t="s">
        <v>567</v>
      </c>
      <c r="O68" s="15" t="s">
        <v>64</v>
      </c>
      <c r="P68" s="15" t="s">
        <v>81</v>
      </c>
      <c r="Q68" s="12" t="s">
        <v>568</v>
      </c>
      <c r="R68" s="13"/>
    </row>
    <row r="69" customFormat="false" ht="78" hidden="false" customHeight="true" outlineLevel="0" collapsed="false">
      <c r="A69" s="11" t="s">
        <v>569</v>
      </c>
      <c r="B69" s="12" t="s">
        <v>540</v>
      </c>
      <c r="C69" s="12" t="s">
        <v>570</v>
      </c>
      <c r="D69" s="13"/>
      <c r="E69" s="13" t="s">
        <v>46</v>
      </c>
      <c r="F69" s="12" t="s">
        <v>571</v>
      </c>
      <c r="G69" s="12" t="s">
        <v>572</v>
      </c>
      <c r="H69" s="12" t="s">
        <v>290</v>
      </c>
      <c r="I69" s="12" t="s">
        <v>573</v>
      </c>
      <c r="J69" s="12" t="s">
        <v>573</v>
      </c>
      <c r="K69" s="12" t="s">
        <v>76</v>
      </c>
      <c r="L69" s="14" t="s">
        <v>574</v>
      </c>
      <c r="M69" s="14" t="s">
        <v>575</v>
      </c>
      <c r="N69" s="12" t="s">
        <v>576</v>
      </c>
      <c r="O69" s="15" t="s">
        <v>64</v>
      </c>
      <c r="P69" s="15" t="s">
        <v>81</v>
      </c>
      <c r="Q69" s="12" t="s">
        <v>577</v>
      </c>
      <c r="R69" s="13"/>
    </row>
    <row r="70" customFormat="false" ht="19.5" hidden="false" customHeight="true" outlineLevel="0" collapsed="false">
      <c r="A70" s="10" t="s">
        <v>578</v>
      </c>
      <c r="B70" s="10"/>
      <c r="C70" s="10"/>
      <c r="D70" s="10"/>
      <c r="E70" s="10"/>
      <c r="F70" s="10"/>
      <c r="G70" s="10"/>
      <c r="H70" s="10"/>
      <c r="I70" s="10"/>
      <c r="J70" s="10"/>
      <c r="K70" s="10"/>
      <c r="L70" s="10"/>
      <c r="M70" s="10"/>
      <c r="N70" s="10"/>
      <c r="O70" s="10"/>
      <c r="P70" s="10"/>
      <c r="Q70" s="10"/>
      <c r="R70" s="10"/>
    </row>
    <row r="71" customFormat="false" ht="78" hidden="false" customHeight="true" outlineLevel="0" collapsed="false">
      <c r="A71" s="11" t="s">
        <v>579</v>
      </c>
      <c r="B71" s="12" t="s">
        <v>578</v>
      </c>
      <c r="C71" s="12" t="s">
        <v>580</v>
      </c>
      <c r="D71" s="13"/>
      <c r="E71" s="13" t="s">
        <v>46</v>
      </c>
      <c r="F71" s="12" t="s">
        <v>581</v>
      </c>
      <c r="G71" s="12" t="s">
        <v>582</v>
      </c>
      <c r="H71" s="12" t="s">
        <v>583</v>
      </c>
      <c r="I71" s="12" t="s">
        <v>584</v>
      </c>
      <c r="J71" s="12" t="s">
        <v>584</v>
      </c>
      <c r="K71" s="12" t="s">
        <v>408</v>
      </c>
      <c r="L71" s="14" t="s">
        <v>585</v>
      </c>
      <c r="M71" s="14" t="s">
        <v>586</v>
      </c>
      <c r="N71" s="12" t="s">
        <v>587</v>
      </c>
      <c r="O71" s="15" t="s">
        <v>64</v>
      </c>
      <c r="P71" s="15" t="s">
        <v>81</v>
      </c>
      <c r="Q71" s="12" t="s">
        <v>588</v>
      </c>
      <c r="R71" s="13"/>
    </row>
    <row r="72" customFormat="false" ht="90" hidden="false" customHeight="true" outlineLevel="0" collapsed="false">
      <c r="A72" s="11" t="s">
        <v>589</v>
      </c>
      <c r="B72" s="12" t="s">
        <v>578</v>
      </c>
      <c r="C72" s="12" t="s">
        <v>590</v>
      </c>
      <c r="D72" s="13"/>
      <c r="E72" s="13" t="s">
        <v>46</v>
      </c>
      <c r="F72" s="12" t="s">
        <v>591</v>
      </c>
      <c r="G72" s="12" t="s">
        <v>592</v>
      </c>
      <c r="H72" s="12" t="s">
        <v>290</v>
      </c>
      <c r="I72" s="12" t="s">
        <v>290</v>
      </c>
      <c r="J72" s="12" t="s">
        <v>290</v>
      </c>
      <c r="K72" s="12" t="s">
        <v>408</v>
      </c>
      <c r="L72" s="14" t="s">
        <v>593</v>
      </c>
      <c r="M72" s="14" t="s">
        <v>594</v>
      </c>
      <c r="N72" s="12" t="s">
        <v>595</v>
      </c>
      <c r="O72" s="15" t="s">
        <v>64</v>
      </c>
      <c r="P72" s="15" t="s">
        <v>81</v>
      </c>
      <c r="Q72" s="12" t="s">
        <v>596</v>
      </c>
      <c r="R72" s="13"/>
    </row>
    <row r="73" customFormat="false" ht="78" hidden="false" customHeight="true" outlineLevel="0" collapsed="false">
      <c r="A73" s="11" t="s">
        <v>597</v>
      </c>
      <c r="B73" s="12" t="s">
        <v>578</v>
      </c>
      <c r="C73" s="12" t="s">
        <v>598</v>
      </c>
      <c r="D73" s="13"/>
      <c r="E73" s="13" t="s">
        <v>46</v>
      </c>
      <c r="F73" s="12" t="s">
        <v>179</v>
      </c>
      <c r="G73" s="12" t="s">
        <v>599</v>
      </c>
      <c r="H73" s="12" t="s">
        <v>290</v>
      </c>
      <c r="I73" s="12" t="s">
        <v>600</v>
      </c>
      <c r="J73" s="12" t="s">
        <v>179</v>
      </c>
      <c r="K73" s="12" t="s">
        <v>408</v>
      </c>
      <c r="L73" s="14" t="s">
        <v>601</v>
      </c>
      <c r="M73" s="14" t="s">
        <v>602</v>
      </c>
      <c r="N73" s="12" t="s">
        <v>603</v>
      </c>
      <c r="O73" s="15" t="s">
        <v>64</v>
      </c>
      <c r="P73" s="15" t="s">
        <v>81</v>
      </c>
      <c r="Q73" s="12" t="s">
        <v>604</v>
      </c>
      <c r="R73" s="13"/>
    </row>
    <row r="74" customFormat="false" ht="66" hidden="false" customHeight="true" outlineLevel="0" collapsed="false">
      <c r="A74" s="11" t="s">
        <v>605</v>
      </c>
      <c r="B74" s="12" t="s">
        <v>578</v>
      </c>
      <c r="C74" s="12" t="s">
        <v>606</v>
      </c>
      <c r="D74" s="13"/>
      <c r="E74" s="13" t="s">
        <v>46</v>
      </c>
      <c r="F74" s="12" t="s">
        <v>607</v>
      </c>
      <c r="G74" s="12" t="s">
        <v>608</v>
      </c>
      <c r="H74" s="12" t="s">
        <v>609</v>
      </c>
      <c r="I74" s="12" t="s">
        <v>99</v>
      </c>
      <c r="J74" s="12" t="s">
        <v>99</v>
      </c>
      <c r="K74" s="12" t="s">
        <v>610</v>
      </c>
      <c r="L74" s="14" t="s">
        <v>611</v>
      </c>
      <c r="M74" s="14" t="s">
        <v>612</v>
      </c>
      <c r="N74" s="12" t="s">
        <v>613</v>
      </c>
      <c r="O74" s="15" t="s">
        <v>64</v>
      </c>
      <c r="P74" s="15" t="s">
        <v>81</v>
      </c>
      <c r="Q74" s="12" t="s">
        <v>614</v>
      </c>
      <c r="R74" s="13"/>
    </row>
    <row r="75" customFormat="false" ht="78" hidden="false" customHeight="true" outlineLevel="0" collapsed="false">
      <c r="A75" s="11" t="s">
        <v>615</v>
      </c>
      <c r="B75" s="12" t="s">
        <v>578</v>
      </c>
      <c r="C75" s="12" t="s">
        <v>616</v>
      </c>
      <c r="D75" s="13"/>
      <c r="E75" s="13" t="s">
        <v>46</v>
      </c>
      <c r="F75" s="12" t="s">
        <v>617</v>
      </c>
      <c r="G75" s="12" t="s">
        <v>99</v>
      </c>
      <c r="H75" s="12" t="s">
        <v>99</v>
      </c>
      <c r="I75" s="12" t="s">
        <v>618</v>
      </c>
      <c r="J75" s="12" t="s">
        <v>618</v>
      </c>
      <c r="K75" s="12" t="s">
        <v>408</v>
      </c>
      <c r="L75" s="14" t="s">
        <v>619</v>
      </c>
      <c r="M75" s="14" t="s">
        <v>620</v>
      </c>
      <c r="N75" s="12" t="s">
        <v>621</v>
      </c>
      <c r="O75" s="15" t="s">
        <v>64</v>
      </c>
      <c r="P75" s="15" t="s">
        <v>81</v>
      </c>
      <c r="Q75" s="12" t="s">
        <v>622</v>
      </c>
      <c r="R75" s="13"/>
    </row>
    <row r="76" customFormat="false" ht="19.5" hidden="false" customHeight="true" outlineLevel="0" collapsed="false">
      <c r="A76" s="10" t="s">
        <v>623</v>
      </c>
      <c r="B76" s="10"/>
      <c r="C76" s="10"/>
      <c r="D76" s="10"/>
      <c r="E76" s="10"/>
      <c r="F76" s="10"/>
      <c r="G76" s="10"/>
      <c r="H76" s="10"/>
      <c r="I76" s="10"/>
      <c r="J76" s="10"/>
      <c r="K76" s="10"/>
      <c r="L76" s="10"/>
      <c r="M76" s="10"/>
      <c r="N76" s="10"/>
      <c r="O76" s="10"/>
      <c r="P76" s="10"/>
      <c r="Q76" s="10"/>
      <c r="R76" s="10"/>
    </row>
    <row r="77" customFormat="false" ht="54" hidden="false" customHeight="true" outlineLevel="0" collapsed="false">
      <c r="A77" s="11" t="s">
        <v>624</v>
      </c>
      <c r="B77" s="12" t="s">
        <v>623</v>
      </c>
      <c r="C77" s="12" t="s">
        <v>625</v>
      </c>
      <c r="D77" s="13"/>
      <c r="E77" s="13" t="s">
        <v>46</v>
      </c>
      <c r="F77" s="12" t="s">
        <v>463</v>
      </c>
      <c r="G77" s="12" t="s">
        <v>626</v>
      </c>
      <c r="H77" s="12" t="s">
        <v>179</v>
      </c>
      <c r="I77" s="12" t="s">
        <v>179</v>
      </c>
      <c r="J77" s="12" t="s">
        <v>179</v>
      </c>
      <c r="K77" s="12" t="s">
        <v>408</v>
      </c>
      <c r="L77" s="14" t="s">
        <v>627</v>
      </c>
      <c r="M77" s="14" t="s">
        <v>628</v>
      </c>
      <c r="N77" s="12" t="s">
        <v>629</v>
      </c>
      <c r="O77" s="15" t="s">
        <v>64</v>
      </c>
      <c r="P77" s="15" t="s">
        <v>81</v>
      </c>
      <c r="Q77" s="12" t="s">
        <v>630</v>
      </c>
      <c r="R77" s="13"/>
    </row>
    <row r="78" customFormat="false" ht="66" hidden="false" customHeight="true" outlineLevel="0" collapsed="false">
      <c r="A78" s="11" t="s">
        <v>631</v>
      </c>
      <c r="B78" s="12" t="s">
        <v>623</v>
      </c>
      <c r="C78" s="12" t="s">
        <v>632</v>
      </c>
      <c r="D78" s="13"/>
      <c r="E78" s="13" t="s">
        <v>46</v>
      </c>
      <c r="F78" s="12" t="s">
        <v>179</v>
      </c>
      <c r="G78" s="12" t="s">
        <v>633</v>
      </c>
      <c r="H78" s="12" t="s">
        <v>634</v>
      </c>
      <c r="I78" s="12" t="s">
        <v>179</v>
      </c>
      <c r="J78" s="12" t="s">
        <v>179</v>
      </c>
      <c r="K78" s="12" t="s">
        <v>408</v>
      </c>
      <c r="L78" s="14" t="s">
        <v>635</v>
      </c>
      <c r="M78" s="14" t="s">
        <v>636</v>
      </c>
      <c r="N78" s="12" t="s">
        <v>637</v>
      </c>
      <c r="O78" s="15" t="s">
        <v>64</v>
      </c>
      <c r="P78" s="15" t="s">
        <v>81</v>
      </c>
      <c r="Q78" s="12" t="s">
        <v>638</v>
      </c>
      <c r="R78" s="13"/>
    </row>
    <row r="79" customFormat="false" ht="54" hidden="false" customHeight="true" outlineLevel="0" collapsed="false">
      <c r="A79" s="11" t="s">
        <v>639</v>
      </c>
      <c r="B79" s="12" t="s">
        <v>623</v>
      </c>
      <c r="C79" s="12" t="s">
        <v>640</v>
      </c>
      <c r="D79" s="13"/>
      <c r="E79" s="13" t="s">
        <v>46</v>
      </c>
      <c r="F79" s="12" t="s">
        <v>179</v>
      </c>
      <c r="G79" s="12" t="s">
        <v>599</v>
      </c>
      <c r="H79" s="12" t="s">
        <v>179</v>
      </c>
      <c r="I79" s="12" t="s">
        <v>179</v>
      </c>
      <c r="J79" s="12" t="s">
        <v>179</v>
      </c>
      <c r="K79" s="12" t="s">
        <v>408</v>
      </c>
      <c r="L79" s="14" t="s">
        <v>641</v>
      </c>
      <c r="M79" s="14" t="s">
        <v>642</v>
      </c>
      <c r="N79" s="12" t="s">
        <v>643</v>
      </c>
      <c r="O79" s="15" t="s">
        <v>64</v>
      </c>
      <c r="P79" s="15" t="s">
        <v>81</v>
      </c>
      <c r="Q79" s="12" t="s">
        <v>644</v>
      </c>
      <c r="R79" s="13"/>
    </row>
    <row r="80" customFormat="false" ht="54" hidden="false" customHeight="true" outlineLevel="0" collapsed="false">
      <c r="A80" s="11" t="s">
        <v>645</v>
      </c>
      <c r="B80" s="12" t="s">
        <v>623</v>
      </c>
      <c r="C80" s="12" t="s">
        <v>646</v>
      </c>
      <c r="D80" s="13"/>
      <c r="E80" s="13" t="s">
        <v>46</v>
      </c>
      <c r="F80" s="12" t="s">
        <v>647</v>
      </c>
      <c r="G80" s="12" t="s">
        <v>648</v>
      </c>
      <c r="H80" s="12" t="s">
        <v>649</v>
      </c>
      <c r="I80" s="12" t="s">
        <v>290</v>
      </c>
      <c r="J80" s="12" t="s">
        <v>290</v>
      </c>
      <c r="K80" s="12" t="s">
        <v>408</v>
      </c>
      <c r="L80" s="14" t="s">
        <v>650</v>
      </c>
      <c r="M80" s="14" t="s">
        <v>651</v>
      </c>
      <c r="N80" s="12" t="s">
        <v>652</v>
      </c>
      <c r="O80" s="15" t="s">
        <v>64</v>
      </c>
      <c r="P80" s="15" t="s">
        <v>81</v>
      </c>
      <c r="Q80" s="12" t="s">
        <v>653</v>
      </c>
      <c r="R80" s="13"/>
    </row>
    <row r="81" customFormat="false" ht="42" hidden="false" customHeight="true" outlineLevel="0" collapsed="false">
      <c r="A81" s="11" t="s">
        <v>654</v>
      </c>
      <c r="B81" s="12" t="s">
        <v>623</v>
      </c>
      <c r="C81" s="12" t="s">
        <v>655</v>
      </c>
      <c r="D81" s="13"/>
      <c r="E81" s="13" t="s">
        <v>46</v>
      </c>
      <c r="F81" s="12" t="s">
        <v>656</v>
      </c>
      <c r="G81" s="12" t="s">
        <v>657</v>
      </c>
      <c r="H81" s="12" t="s">
        <v>649</v>
      </c>
      <c r="I81" s="12" t="s">
        <v>290</v>
      </c>
      <c r="J81" s="12" t="s">
        <v>290</v>
      </c>
      <c r="K81" s="12" t="s">
        <v>408</v>
      </c>
      <c r="L81" s="14" t="s">
        <v>658</v>
      </c>
      <c r="M81" s="14" t="s">
        <v>659</v>
      </c>
      <c r="N81" s="12" t="s">
        <v>660</v>
      </c>
      <c r="O81" s="15" t="s">
        <v>64</v>
      </c>
      <c r="P81" s="15" t="s">
        <v>81</v>
      </c>
      <c r="Q81" s="12" t="s">
        <v>661</v>
      </c>
      <c r="R81" s="13"/>
    </row>
    <row r="82" customFormat="false" ht="114" hidden="false" customHeight="true" outlineLevel="0" collapsed="false">
      <c r="A82" s="11" t="s">
        <v>662</v>
      </c>
      <c r="B82" s="12" t="s">
        <v>623</v>
      </c>
      <c r="C82" s="12" t="s">
        <v>663</v>
      </c>
      <c r="D82" s="13"/>
      <c r="E82" s="13" t="s">
        <v>46</v>
      </c>
      <c r="F82" s="12" t="s">
        <v>664</v>
      </c>
      <c r="G82" s="12" t="s">
        <v>665</v>
      </c>
      <c r="H82" s="12" t="s">
        <v>206</v>
      </c>
      <c r="I82" s="12" t="s">
        <v>206</v>
      </c>
      <c r="J82" s="12" t="s">
        <v>206</v>
      </c>
      <c r="K82" s="12" t="s">
        <v>408</v>
      </c>
      <c r="L82" s="14" t="s">
        <v>666</v>
      </c>
      <c r="M82" s="14" t="s">
        <v>667</v>
      </c>
      <c r="N82" s="12" t="s">
        <v>668</v>
      </c>
      <c r="O82" s="15" t="s">
        <v>64</v>
      </c>
      <c r="P82" s="15" t="s">
        <v>81</v>
      </c>
      <c r="Q82" s="12" t="s">
        <v>669</v>
      </c>
      <c r="R82" s="13"/>
    </row>
    <row r="83" customFormat="false" ht="66" hidden="false" customHeight="true" outlineLevel="0" collapsed="false">
      <c r="A83" s="11" t="s">
        <v>670</v>
      </c>
      <c r="B83" s="12" t="s">
        <v>623</v>
      </c>
      <c r="C83" s="12" t="s">
        <v>671</v>
      </c>
      <c r="D83" s="13"/>
      <c r="E83" s="13" t="s">
        <v>46</v>
      </c>
      <c r="F83" s="12" t="s">
        <v>672</v>
      </c>
      <c r="G83" s="12" t="s">
        <v>673</v>
      </c>
      <c r="H83" s="12" t="s">
        <v>674</v>
      </c>
      <c r="I83" s="12" t="s">
        <v>675</v>
      </c>
      <c r="J83" s="12" t="s">
        <v>675</v>
      </c>
      <c r="K83" s="12" t="s">
        <v>408</v>
      </c>
      <c r="L83" s="14" t="s">
        <v>676</v>
      </c>
      <c r="M83" s="14" t="s">
        <v>677</v>
      </c>
      <c r="N83" s="12" t="s">
        <v>678</v>
      </c>
      <c r="O83" s="15" t="s">
        <v>64</v>
      </c>
      <c r="P83" s="15" t="s">
        <v>81</v>
      </c>
      <c r="Q83" s="12" t="s">
        <v>679</v>
      </c>
      <c r="R83" s="13"/>
    </row>
    <row r="84" customFormat="false" ht="19.5" hidden="false" customHeight="true" outlineLevel="0" collapsed="false">
      <c r="A84" s="10" t="s">
        <v>680</v>
      </c>
      <c r="B84" s="10"/>
      <c r="C84" s="10"/>
      <c r="D84" s="10"/>
      <c r="E84" s="10"/>
      <c r="F84" s="10"/>
      <c r="G84" s="10"/>
      <c r="H84" s="10"/>
      <c r="I84" s="10"/>
      <c r="J84" s="10"/>
      <c r="K84" s="10"/>
      <c r="L84" s="10"/>
      <c r="M84" s="10"/>
      <c r="N84" s="10"/>
      <c r="O84" s="10"/>
      <c r="P84" s="10"/>
      <c r="Q84" s="10"/>
      <c r="R84" s="10"/>
    </row>
    <row r="85" customFormat="false" ht="90" hidden="false" customHeight="true" outlineLevel="0" collapsed="false">
      <c r="A85" s="11" t="s">
        <v>681</v>
      </c>
      <c r="B85" s="12" t="s">
        <v>680</v>
      </c>
      <c r="C85" s="12" t="s">
        <v>682</v>
      </c>
      <c r="D85" s="13"/>
      <c r="E85" s="13" t="s">
        <v>46</v>
      </c>
      <c r="F85" s="12" t="s">
        <v>683</v>
      </c>
      <c r="G85" s="12" t="s">
        <v>684</v>
      </c>
      <c r="H85" s="12" t="s">
        <v>685</v>
      </c>
      <c r="I85" s="12" t="s">
        <v>686</v>
      </c>
      <c r="J85" s="12" t="s">
        <v>686</v>
      </c>
      <c r="K85" s="12" t="s">
        <v>76</v>
      </c>
      <c r="L85" s="14" t="s">
        <v>687</v>
      </c>
      <c r="M85" s="14" t="s">
        <v>688</v>
      </c>
      <c r="N85" s="12" t="s">
        <v>689</v>
      </c>
      <c r="O85" s="15" t="s">
        <v>64</v>
      </c>
      <c r="P85" s="15" t="s">
        <v>81</v>
      </c>
      <c r="Q85" s="12" t="s">
        <v>690</v>
      </c>
      <c r="R85" s="13"/>
    </row>
    <row r="86" customFormat="false" ht="78" hidden="false" customHeight="true" outlineLevel="0" collapsed="false">
      <c r="A86" s="11" t="s">
        <v>691</v>
      </c>
      <c r="B86" s="12" t="s">
        <v>680</v>
      </c>
      <c r="C86" s="12" t="s">
        <v>692</v>
      </c>
      <c r="D86" s="13"/>
      <c r="E86" s="13" t="s">
        <v>46</v>
      </c>
      <c r="F86" s="12" t="s">
        <v>693</v>
      </c>
      <c r="G86" s="12" t="s">
        <v>694</v>
      </c>
      <c r="H86" s="12" t="s">
        <v>99</v>
      </c>
      <c r="I86" s="12" t="s">
        <v>99</v>
      </c>
      <c r="J86" s="12" t="s">
        <v>99</v>
      </c>
      <c r="K86" s="12" t="s">
        <v>76</v>
      </c>
      <c r="L86" s="14" t="s">
        <v>695</v>
      </c>
      <c r="M86" s="14" t="s">
        <v>696</v>
      </c>
      <c r="N86" s="12" t="s">
        <v>697</v>
      </c>
      <c r="O86" s="15" t="s">
        <v>64</v>
      </c>
      <c r="P86" s="15" t="s">
        <v>81</v>
      </c>
      <c r="Q86" s="12" t="s">
        <v>698</v>
      </c>
      <c r="R86" s="13"/>
    </row>
    <row r="87" customFormat="false" ht="66" hidden="false" customHeight="true" outlineLevel="0" collapsed="false">
      <c r="A87" s="11" t="s">
        <v>699</v>
      </c>
      <c r="B87" s="12" t="s">
        <v>680</v>
      </c>
      <c r="C87" s="12" t="s">
        <v>700</v>
      </c>
      <c r="D87" s="13"/>
      <c r="E87" s="13" t="s">
        <v>46</v>
      </c>
      <c r="F87" s="12" t="s">
        <v>701</v>
      </c>
      <c r="G87" s="12" t="s">
        <v>702</v>
      </c>
      <c r="H87" s="12" t="s">
        <v>703</v>
      </c>
      <c r="I87" s="12" t="s">
        <v>99</v>
      </c>
      <c r="J87" s="12" t="s">
        <v>99</v>
      </c>
      <c r="K87" s="12" t="s">
        <v>76</v>
      </c>
      <c r="L87" s="14" t="s">
        <v>704</v>
      </c>
      <c r="M87" s="14" t="s">
        <v>705</v>
      </c>
      <c r="N87" s="12" t="s">
        <v>706</v>
      </c>
      <c r="O87" s="15" t="s">
        <v>64</v>
      </c>
      <c r="P87" s="15" t="s">
        <v>81</v>
      </c>
      <c r="Q87" s="12" t="s">
        <v>707</v>
      </c>
      <c r="R87" s="13"/>
    </row>
    <row r="88" customFormat="false" ht="66" hidden="false" customHeight="true" outlineLevel="0" collapsed="false">
      <c r="A88" s="11" t="s">
        <v>708</v>
      </c>
      <c r="B88" s="12" t="s">
        <v>680</v>
      </c>
      <c r="C88" s="12" t="s">
        <v>709</v>
      </c>
      <c r="D88" s="13"/>
      <c r="E88" s="13" t="s">
        <v>46</v>
      </c>
      <c r="F88" s="12" t="s">
        <v>710</v>
      </c>
      <c r="G88" s="12" t="s">
        <v>711</v>
      </c>
      <c r="H88" s="12" t="s">
        <v>712</v>
      </c>
      <c r="I88" s="12" t="s">
        <v>99</v>
      </c>
      <c r="J88" s="12" t="s">
        <v>99</v>
      </c>
      <c r="K88" s="12" t="s">
        <v>76</v>
      </c>
      <c r="L88" s="14" t="s">
        <v>713</v>
      </c>
      <c r="M88" s="14" t="s">
        <v>714</v>
      </c>
      <c r="N88" s="12" t="s">
        <v>715</v>
      </c>
      <c r="O88" s="15" t="s">
        <v>64</v>
      </c>
      <c r="P88" s="15" t="s">
        <v>81</v>
      </c>
      <c r="Q88" s="12" t="s">
        <v>716</v>
      </c>
      <c r="R88" s="13"/>
    </row>
    <row r="89" customFormat="false" ht="19.5" hidden="false" customHeight="true" outlineLevel="0" collapsed="false">
      <c r="A89" s="10" t="s">
        <v>717</v>
      </c>
      <c r="B89" s="10"/>
      <c r="C89" s="10"/>
      <c r="D89" s="10"/>
      <c r="E89" s="10"/>
      <c r="F89" s="10"/>
      <c r="G89" s="10"/>
      <c r="H89" s="10"/>
      <c r="I89" s="10"/>
      <c r="J89" s="10"/>
      <c r="K89" s="10"/>
      <c r="L89" s="10"/>
      <c r="M89" s="10"/>
      <c r="N89" s="10"/>
      <c r="O89" s="10"/>
      <c r="P89" s="10"/>
      <c r="Q89" s="10"/>
      <c r="R89" s="10"/>
    </row>
    <row r="90" customFormat="false" ht="90" hidden="false" customHeight="true" outlineLevel="0" collapsed="false">
      <c r="A90" s="11" t="s">
        <v>718</v>
      </c>
      <c r="B90" s="12" t="s">
        <v>717</v>
      </c>
      <c r="C90" s="12" t="s">
        <v>719</v>
      </c>
      <c r="D90" s="13"/>
      <c r="E90" s="13" t="s">
        <v>46</v>
      </c>
      <c r="F90" s="12" t="s">
        <v>720</v>
      </c>
      <c r="G90" s="12" t="s">
        <v>721</v>
      </c>
      <c r="H90" s="12" t="s">
        <v>573</v>
      </c>
      <c r="I90" s="12" t="s">
        <v>99</v>
      </c>
      <c r="J90" s="12" t="s">
        <v>99</v>
      </c>
      <c r="K90" s="12" t="s">
        <v>722</v>
      </c>
      <c r="L90" s="14" t="s">
        <v>723</v>
      </c>
      <c r="M90" s="14" t="s">
        <v>724</v>
      </c>
      <c r="N90" s="12" t="s">
        <v>725</v>
      </c>
      <c r="O90" s="15" t="s">
        <v>64</v>
      </c>
      <c r="P90" s="15" t="s">
        <v>81</v>
      </c>
      <c r="Q90" s="12" t="s">
        <v>726</v>
      </c>
      <c r="R90" s="13"/>
    </row>
    <row r="91" customFormat="false" ht="102" hidden="false" customHeight="true" outlineLevel="0" collapsed="false">
      <c r="A91" s="11" t="s">
        <v>727</v>
      </c>
      <c r="B91" s="12" t="s">
        <v>717</v>
      </c>
      <c r="C91" s="12" t="s">
        <v>728</v>
      </c>
      <c r="D91" s="13"/>
      <c r="E91" s="13" t="s">
        <v>46</v>
      </c>
      <c r="F91" s="12" t="s">
        <v>729</v>
      </c>
      <c r="G91" s="12" t="s">
        <v>730</v>
      </c>
      <c r="H91" s="12" t="s">
        <v>573</v>
      </c>
      <c r="I91" s="12" t="s">
        <v>99</v>
      </c>
      <c r="J91" s="12" t="s">
        <v>99</v>
      </c>
      <c r="K91" s="12" t="s">
        <v>731</v>
      </c>
      <c r="L91" s="14" t="s">
        <v>732</v>
      </c>
      <c r="M91" s="14" t="s">
        <v>733</v>
      </c>
      <c r="N91" s="12" t="s">
        <v>734</v>
      </c>
      <c r="O91" s="15" t="s">
        <v>64</v>
      </c>
      <c r="P91" s="15" t="s">
        <v>81</v>
      </c>
      <c r="Q91" s="12" t="s">
        <v>735</v>
      </c>
      <c r="R91" s="13"/>
    </row>
    <row r="92" customFormat="false" ht="90" hidden="false" customHeight="true" outlineLevel="0" collapsed="false">
      <c r="A92" s="11" t="s">
        <v>736</v>
      </c>
      <c r="B92" s="12" t="s">
        <v>717</v>
      </c>
      <c r="C92" s="12" t="s">
        <v>737</v>
      </c>
      <c r="D92" s="13"/>
      <c r="E92" s="13" t="s">
        <v>46</v>
      </c>
      <c r="F92" s="12" t="s">
        <v>738</v>
      </c>
      <c r="G92" s="12" t="s">
        <v>99</v>
      </c>
      <c r="H92" s="12" t="s">
        <v>99</v>
      </c>
      <c r="I92" s="12" t="s">
        <v>99</v>
      </c>
      <c r="J92" s="12" t="s">
        <v>99</v>
      </c>
      <c r="K92" s="12" t="s">
        <v>76</v>
      </c>
      <c r="L92" s="14" t="s">
        <v>739</v>
      </c>
      <c r="M92" s="14" t="s">
        <v>740</v>
      </c>
      <c r="N92" s="12" t="s">
        <v>741</v>
      </c>
      <c r="O92" s="15" t="s">
        <v>64</v>
      </c>
      <c r="P92" s="15" t="s">
        <v>81</v>
      </c>
      <c r="Q92" s="12" t="s">
        <v>742</v>
      </c>
      <c r="R92" s="13"/>
    </row>
    <row r="93" customFormat="false" ht="19.5" hidden="false" customHeight="true" outlineLevel="0" collapsed="false">
      <c r="A93" s="10" t="s">
        <v>743</v>
      </c>
      <c r="B93" s="10"/>
      <c r="C93" s="10"/>
      <c r="D93" s="10"/>
      <c r="E93" s="10"/>
      <c r="F93" s="10"/>
      <c r="G93" s="10"/>
      <c r="H93" s="10"/>
      <c r="I93" s="10"/>
      <c r="J93" s="10"/>
      <c r="K93" s="10"/>
      <c r="L93" s="10"/>
      <c r="M93" s="10"/>
      <c r="N93" s="10"/>
      <c r="O93" s="10"/>
      <c r="P93" s="10"/>
      <c r="Q93" s="10"/>
      <c r="R93" s="10"/>
    </row>
    <row r="94" customFormat="false" ht="102" hidden="false" customHeight="true" outlineLevel="0" collapsed="false">
      <c r="A94" s="11" t="s">
        <v>744</v>
      </c>
      <c r="B94" s="12" t="s">
        <v>743</v>
      </c>
      <c r="C94" s="12" t="s">
        <v>745</v>
      </c>
      <c r="D94" s="13"/>
      <c r="E94" s="13" t="s">
        <v>46</v>
      </c>
      <c r="F94" s="12" t="s">
        <v>746</v>
      </c>
      <c r="G94" s="12" t="s">
        <v>747</v>
      </c>
      <c r="H94" s="12" t="s">
        <v>99</v>
      </c>
      <c r="I94" s="12" t="s">
        <v>99</v>
      </c>
      <c r="J94" s="12" t="s">
        <v>99</v>
      </c>
      <c r="K94" s="12" t="s">
        <v>76</v>
      </c>
      <c r="L94" s="14" t="s">
        <v>748</v>
      </c>
      <c r="M94" s="14" t="s">
        <v>749</v>
      </c>
      <c r="N94" s="12" t="s">
        <v>750</v>
      </c>
      <c r="O94" s="12" t="s">
        <v>99</v>
      </c>
      <c r="P94" s="15" t="s">
        <v>81</v>
      </c>
      <c r="Q94" s="12" t="s">
        <v>751</v>
      </c>
      <c r="R94" s="13"/>
    </row>
    <row r="95" customFormat="false" ht="66" hidden="false" customHeight="true" outlineLevel="0" collapsed="false">
      <c r="A95" s="11" t="s">
        <v>752</v>
      </c>
      <c r="B95" s="12" t="s">
        <v>743</v>
      </c>
      <c r="C95" s="12" t="s">
        <v>753</v>
      </c>
      <c r="D95" s="13"/>
      <c r="E95" s="13" t="s">
        <v>46</v>
      </c>
      <c r="F95" s="12" t="s">
        <v>754</v>
      </c>
      <c r="G95" s="12" t="s">
        <v>99</v>
      </c>
      <c r="H95" s="12" t="s">
        <v>99</v>
      </c>
      <c r="I95" s="12" t="s">
        <v>99</v>
      </c>
      <c r="J95" s="12" t="s">
        <v>99</v>
      </c>
      <c r="K95" s="12" t="s">
        <v>76</v>
      </c>
      <c r="L95" s="14" t="s">
        <v>755</v>
      </c>
      <c r="M95" s="14" t="s">
        <v>756</v>
      </c>
      <c r="N95" s="12" t="s">
        <v>757</v>
      </c>
      <c r="O95" s="12" t="s">
        <v>99</v>
      </c>
      <c r="P95" s="15" t="s">
        <v>81</v>
      </c>
      <c r="Q95" s="12" t="s">
        <v>758</v>
      </c>
      <c r="R95" s="13"/>
    </row>
    <row r="96" customFormat="false" ht="66" hidden="false" customHeight="true" outlineLevel="0" collapsed="false">
      <c r="A96" s="11" t="s">
        <v>759</v>
      </c>
      <c r="B96" s="12" t="s">
        <v>743</v>
      </c>
      <c r="C96" s="12" t="s">
        <v>760</v>
      </c>
      <c r="D96" s="13"/>
      <c r="E96" s="13" t="s">
        <v>46</v>
      </c>
      <c r="F96" s="12" t="s">
        <v>761</v>
      </c>
      <c r="G96" s="12" t="s">
        <v>99</v>
      </c>
      <c r="H96" s="12" t="s">
        <v>99</v>
      </c>
      <c r="I96" s="12" t="s">
        <v>99</v>
      </c>
      <c r="J96" s="12" t="s">
        <v>99</v>
      </c>
      <c r="K96" s="12" t="s">
        <v>76</v>
      </c>
      <c r="L96" s="14" t="s">
        <v>762</v>
      </c>
      <c r="M96" s="14" t="s">
        <v>756</v>
      </c>
      <c r="N96" s="12" t="s">
        <v>763</v>
      </c>
      <c r="O96" s="12" t="s">
        <v>99</v>
      </c>
      <c r="P96" s="15" t="s">
        <v>81</v>
      </c>
      <c r="Q96" s="12" t="s">
        <v>764</v>
      </c>
      <c r="R96" s="13"/>
    </row>
    <row r="97" customFormat="false" ht="90" hidden="false" customHeight="true" outlineLevel="0" collapsed="false">
      <c r="A97" s="11" t="s">
        <v>765</v>
      </c>
      <c r="B97" s="12" t="s">
        <v>743</v>
      </c>
      <c r="C97" s="12" t="s">
        <v>766</v>
      </c>
      <c r="D97" s="13"/>
      <c r="E97" s="13" t="s">
        <v>46</v>
      </c>
      <c r="F97" s="12" t="s">
        <v>767</v>
      </c>
      <c r="G97" s="12" t="s">
        <v>768</v>
      </c>
      <c r="H97" s="12" t="s">
        <v>769</v>
      </c>
      <c r="I97" s="12" t="s">
        <v>99</v>
      </c>
      <c r="J97" s="12" t="s">
        <v>99</v>
      </c>
      <c r="K97" s="12" t="s">
        <v>76</v>
      </c>
      <c r="L97" s="14" t="s">
        <v>770</v>
      </c>
      <c r="M97" s="14" t="s">
        <v>771</v>
      </c>
      <c r="N97" s="12" t="s">
        <v>772</v>
      </c>
      <c r="O97" s="15" t="s">
        <v>64</v>
      </c>
      <c r="P97" s="15" t="s">
        <v>81</v>
      </c>
      <c r="Q97" s="12" t="s">
        <v>773</v>
      </c>
      <c r="R97" s="13"/>
    </row>
    <row r="98" customFormat="false" ht="90" hidden="false" customHeight="true" outlineLevel="0" collapsed="false">
      <c r="A98" s="11" t="s">
        <v>774</v>
      </c>
      <c r="B98" s="12" t="s">
        <v>743</v>
      </c>
      <c r="C98" s="12" t="s">
        <v>775</v>
      </c>
      <c r="D98" s="13"/>
      <c r="E98" s="13" t="s">
        <v>46</v>
      </c>
      <c r="F98" s="12" t="s">
        <v>776</v>
      </c>
      <c r="G98" s="12" t="s">
        <v>99</v>
      </c>
      <c r="H98" s="12" t="s">
        <v>777</v>
      </c>
      <c r="I98" s="12" t="s">
        <v>99</v>
      </c>
      <c r="J98" s="12" t="s">
        <v>99</v>
      </c>
      <c r="K98" s="12" t="s">
        <v>76</v>
      </c>
      <c r="L98" s="14" t="s">
        <v>778</v>
      </c>
      <c r="M98" s="14" t="s">
        <v>779</v>
      </c>
      <c r="N98" s="12" t="s">
        <v>780</v>
      </c>
      <c r="O98" s="15" t="s">
        <v>64</v>
      </c>
      <c r="P98" s="15" t="s">
        <v>81</v>
      </c>
      <c r="Q98" s="12" t="s">
        <v>781</v>
      </c>
      <c r="R98" s="13"/>
    </row>
    <row r="99" customFormat="false" ht="102" hidden="false" customHeight="true" outlineLevel="0" collapsed="false">
      <c r="A99" s="11" t="s">
        <v>782</v>
      </c>
      <c r="B99" s="12" t="s">
        <v>743</v>
      </c>
      <c r="C99" s="12" t="s">
        <v>783</v>
      </c>
      <c r="D99" s="13"/>
      <c r="E99" s="13" t="s">
        <v>46</v>
      </c>
      <c r="F99" s="12" t="s">
        <v>784</v>
      </c>
      <c r="G99" s="12" t="s">
        <v>785</v>
      </c>
      <c r="H99" s="12" t="s">
        <v>99</v>
      </c>
      <c r="I99" s="12" t="s">
        <v>99</v>
      </c>
      <c r="J99" s="12" t="s">
        <v>99</v>
      </c>
      <c r="K99" s="12" t="s">
        <v>76</v>
      </c>
      <c r="L99" s="14" t="s">
        <v>786</v>
      </c>
      <c r="M99" s="14" t="s">
        <v>756</v>
      </c>
      <c r="N99" s="12" t="s">
        <v>787</v>
      </c>
      <c r="O99" s="15" t="s">
        <v>64</v>
      </c>
      <c r="P99" s="15" t="s">
        <v>81</v>
      </c>
      <c r="Q99" s="12" t="s">
        <v>788</v>
      </c>
      <c r="R99" s="13"/>
    </row>
    <row r="100" customFormat="false" ht="102" hidden="false" customHeight="true" outlineLevel="0" collapsed="false">
      <c r="A100" s="11" t="s">
        <v>789</v>
      </c>
      <c r="B100" s="12" t="s">
        <v>743</v>
      </c>
      <c r="C100" s="12" t="s">
        <v>790</v>
      </c>
      <c r="D100" s="13"/>
      <c r="E100" s="13" t="s">
        <v>46</v>
      </c>
      <c r="F100" s="12" t="s">
        <v>791</v>
      </c>
      <c r="G100" s="12" t="s">
        <v>99</v>
      </c>
      <c r="H100" s="12" t="s">
        <v>99</v>
      </c>
      <c r="I100" s="12" t="s">
        <v>99</v>
      </c>
      <c r="J100" s="12" t="s">
        <v>99</v>
      </c>
      <c r="K100" s="12" t="s">
        <v>76</v>
      </c>
      <c r="L100" s="14" t="s">
        <v>786</v>
      </c>
      <c r="M100" s="14" t="s">
        <v>756</v>
      </c>
      <c r="N100" s="12" t="s">
        <v>792</v>
      </c>
      <c r="O100" s="12" t="s">
        <v>99</v>
      </c>
      <c r="P100" s="15" t="s">
        <v>81</v>
      </c>
      <c r="Q100" s="12" t="s">
        <v>793</v>
      </c>
      <c r="R100" s="13"/>
    </row>
    <row r="101" customFormat="false" ht="90" hidden="false" customHeight="true" outlineLevel="0" collapsed="false">
      <c r="A101" s="11" t="s">
        <v>794</v>
      </c>
      <c r="B101" s="12" t="s">
        <v>743</v>
      </c>
      <c r="C101" s="12" t="s">
        <v>795</v>
      </c>
      <c r="D101" s="13"/>
      <c r="E101" s="13" t="s">
        <v>46</v>
      </c>
      <c r="F101" s="12" t="s">
        <v>796</v>
      </c>
      <c r="G101" s="12" t="s">
        <v>797</v>
      </c>
      <c r="H101" s="12" t="s">
        <v>798</v>
      </c>
      <c r="I101" s="12" t="s">
        <v>99</v>
      </c>
      <c r="J101" s="12" t="s">
        <v>99</v>
      </c>
      <c r="K101" s="12" t="s">
        <v>76</v>
      </c>
      <c r="L101" s="14" t="s">
        <v>799</v>
      </c>
      <c r="M101" s="14" t="s">
        <v>800</v>
      </c>
      <c r="N101" s="12" t="s">
        <v>801</v>
      </c>
      <c r="O101" s="15" t="s">
        <v>64</v>
      </c>
      <c r="P101" s="15" t="s">
        <v>81</v>
      </c>
      <c r="Q101" s="12" t="s">
        <v>802</v>
      </c>
      <c r="R101" s="13"/>
    </row>
    <row r="102" customFormat="false" ht="78" hidden="false" customHeight="true" outlineLevel="0" collapsed="false">
      <c r="A102" s="11" t="s">
        <v>803</v>
      </c>
      <c r="B102" s="12" t="s">
        <v>743</v>
      </c>
      <c r="C102" s="12" t="s">
        <v>804</v>
      </c>
      <c r="D102" s="13"/>
      <c r="E102" s="13" t="s">
        <v>46</v>
      </c>
      <c r="F102" s="12" t="s">
        <v>805</v>
      </c>
      <c r="G102" s="12" t="s">
        <v>806</v>
      </c>
      <c r="H102" s="12" t="s">
        <v>807</v>
      </c>
      <c r="I102" s="12" t="s">
        <v>99</v>
      </c>
      <c r="J102" s="12" t="s">
        <v>99</v>
      </c>
      <c r="K102" s="12" t="s">
        <v>76</v>
      </c>
      <c r="L102" s="14" t="s">
        <v>808</v>
      </c>
      <c r="M102" s="14" t="s">
        <v>809</v>
      </c>
      <c r="N102" s="12" t="s">
        <v>810</v>
      </c>
      <c r="O102" s="12" t="s">
        <v>99</v>
      </c>
      <c r="P102" s="15" t="s">
        <v>81</v>
      </c>
      <c r="Q102" s="12" t="s">
        <v>811</v>
      </c>
      <c r="R102" s="13"/>
    </row>
    <row r="103" customFormat="false" ht="90" hidden="false" customHeight="true" outlineLevel="0" collapsed="false">
      <c r="A103" s="11" t="s">
        <v>812</v>
      </c>
      <c r="B103" s="12" t="s">
        <v>743</v>
      </c>
      <c r="C103" s="12" t="s">
        <v>813</v>
      </c>
      <c r="D103" s="13"/>
      <c r="E103" s="13" t="s">
        <v>46</v>
      </c>
      <c r="F103" s="12" t="s">
        <v>814</v>
      </c>
      <c r="G103" s="12" t="s">
        <v>99</v>
      </c>
      <c r="H103" s="12" t="s">
        <v>815</v>
      </c>
      <c r="I103" s="12" t="s">
        <v>99</v>
      </c>
      <c r="J103" s="12" t="s">
        <v>99</v>
      </c>
      <c r="K103" s="12" t="s">
        <v>76</v>
      </c>
      <c r="L103" s="14" t="s">
        <v>816</v>
      </c>
      <c r="M103" s="14" t="s">
        <v>817</v>
      </c>
      <c r="N103" s="12" t="s">
        <v>818</v>
      </c>
      <c r="O103" s="12" t="s">
        <v>99</v>
      </c>
      <c r="P103" s="15" t="s">
        <v>81</v>
      </c>
      <c r="Q103" s="12" t="s">
        <v>819</v>
      </c>
      <c r="R103" s="13"/>
    </row>
    <row r="104" customFormat="false" ht="90" hidden="false" customHeight="true" outlineLevel="0" collapsed="false">
      <c r="A104" s="11" t="s">
        <v>820</v>
      </c>
      <c r="B104" s="12" t="s">
        <v>743</v>
      </c>
      <c r="C104" s="12" t="s">
        <v>821</v>
      </c>
      <c r="D104" s="13"/>
      <c r="E104" s="13" t="s">
        <v>46</v>
      </c>
      <c r="F104" s="12" t="s">
        <v>822</v>
      </c>
      <c r="G104" s="12" t="s">
        <v>345</v>
      </c>
      <c r="H104" s="12" t="s">
        <v>99</v>
      </c>
      <c r="I104" s="12" t="s">
        <v>99</v>
      </c>
      <c r="J104" s="12" t="s">
        <v>99</v>
      </c>
      <c r="K104" s="12" t="s">
        <v>76</v>
      </c>
      <c r="L104" s="14" t="s">
        <v>823</v>
      </c>
      <c r="M104" s="14" t="s">
        <v>824</v>
      </c>
      <c r="N104" s="12" t="s">
        <v>825</v>
      </c>
      <c r="O104" s="12" t="s">
        <v>99</v>
      </c>
      <c r="P104" s="15" t="s">
        <v>81</v>
      </c>
      <c r="Q104" s="12" t="s">
        <v>826</v>
      </c>
      <c r="R104" s="13"/>
    </row>
    <row r="105" customFormat="false" ht="19.5" hidden="false" customHeight="true" outlineLevel="0" collapsed="false">
      <c r="A105" s="10" t="s">
        <v>827</v>
      </c>
      <c r="B105" s="10"/>
      <c r="C105" s="10"/>
      <c r="D105" s="10"/>
      <c r="E105" s="10"/>
      <c r="F105" s="10"/>
      <c r="G105" s="10"/>
      <c r="H105" s="10"/>
      <c r="I105" s="10"/>
      <c r="J105" s="10"/>
      <c r="K105" s="10"/>
      <c r="L105" s="10"/>
      <c r="M105" s="10"/>
      <c r="N105" s="10"/>
      <c r="O105" s="10"/>
      <c r="P105" s="10"/>
      <c r="Q105" s="10"/>
      <c r="R105" s="10"/>
    </row>
    <row r="106" customFormat="false" ht="114" hidden="false" customHeight="true" outlineLevel="0" collapsed="false">
      <c r="A106" s="11" t="s">
        <v>828</v>
      </c>
      <c r="B106" s="12" t="s">
        <v>827</v>
      </c>
      <c r="C106" s="12" t="s">
        <v>829</v>
      </c>
      <c r="D106" s="13"/>
      <c r="E106" s="13" t="s">
        <v>46</v>
      </c>
      <c r="F106" s="12" t="s">
        <v>830</v>
      </c>
      <c r="G106" s="12" t="s">
        <v>831</v>
      </c>
      <c r="H106" s="12" t="s">
        <v>832</v>
      </c>
      <c r="I106" s="12" t="s">
        <v>99</v>
      </c>
      <c r="J106" s="12" t="s">
        <v>99</v>
      </c>
      <c r="K106" s="12" t="s">
        <v>76</v>
      </c>
      <c r="L106" s="14" t="s">
        <v>833</v>
      </c>
      <c r="M106" s="14" t="s">
        <v>834</v>
      </c>
      <c r="N106" s="12" t="s">
        <v>835</v>
      </c>
      <c r="O106" s="15" t="s">
        <v>64</v>
      </c>
      <c r="P106" s="15" t="s">
        <v>81</v>
      </c>
      <c r="Q106" s="12" t="s">
        <v>836</v>
      </c>
      <c r="R106" s="13"/>
    </row>
    <row r="107" customFormat="false" ht="102" hidden="false" customHeight="true" outlineLevel="0" collapsed="false">
      <c r="A107" s="11" t="s">
        <v>837</v>
      </c>
      <c r="B107" s="12" t="s">
        <v>827</v>
      </c>
      <c r="C107" s="12" t="s">
        <v>838</v>
      </c>
      <c r="D107" s="13"/>
      <c r="E107" s="13" t="s">
        <v>46</v>
      </c>
      <c r="F107" s="12" t="s">
        <v>839</v>
      </c>
      <c r="G107" s="12" t="s">
        <v>99</v>
      </c>
      <c r="H107" s="12" t="s">
        <v>99</v>
      </c>
      <c r="I107" s="12" t="s">
        <v>99</v>
      </c>
      <c r="J107" s="12" t="s">
        <v>99</v>
      </c>
      <c r="K107" s="12" t="s">
        <v>76</v>
      </c>
      <c r="L107" s="14" t="s">
        <v>840</v>
      </c>
      <c r="M107" s="14" t="s">
        <v>740</v>
      </c>
      <c r="N107" s="12" t="s">
        <v>841</v>
      </c>
      <c r="O107" s="15" t="s">
        <v>64</v>
      </c>
      <c r="P107" s="15" t="s">
        <v>81</v>
      </c>
      <c r="Q107" s="12" t="s">
        <v>842</v>
      </c>
      <c r="R107" s="13"/>
    </row>
    <row r="108" customFormat="false" ht="19.5" hidden="false" customHeight="true" outlineLevel="0" collapsed="false">
      <c r="A108" s="10" t="s">
        <v>843</v>
      </c>
      <c r="B108" s="10"/>
      <c r="C108" s="10"/>
      <c r="D108" s="10"/>
      <c r="E108" s="10"/>
      <c r="F108" s="10"/>
      <c r="G108" s="10"/>
      <c r="H108" s="10"/>
      <c r="I108" s="10"/>
      <c r="J108" s="10"/>
      <c r="K108" s="10"/>
      <c r="L108" s="10"/>
      <c r="M108" s="10"/>
      <c r="N108" s="10"/>
      <c r="O108" s="10"/>
      <c r="P108" s="10"/>
      <c r="Q108" s="10"/>
      <c r="R108" s="10"/>
    </row>
    <row r="109" customFormat="false" ht="114" hidden="false" customHeight="true" outlineLevel="0" collapsed="false">
      <c r="A109" s="11" t="s">
        <v>844</v>
      </c>
      <c r="B109" s="12" t="s">
        <v>843</v>
      </c>
      <c r="C109" s="12" t="s">
        <v>845</v>
      </c>
      <c r="D109" s="13"/>
      <c r="E109" s="13" t="s">
        <v>46</v>
      </c>
      <c r="F109" s="12" t="s">
        <v>179</v>
      </c>
      <c r="G109" s="12" t="s">
        <v>846</v>
      </c>
      <c r="H109" s="12" t="s">
        <v>290</v>
      </c>
      <c r="I109" s="12" t="s">
        <v>99</v>
      </c>
      <c r="J109" s="12" t="s">
        <v>99</v>
      </c>
      <c r="K109" s="12" t="s">
        <v>847</v>
      </c>
      <c r="L109" s="14" t="s">
        <v>848</v>
      </c>
      <c r="M109" s="14" t="s">
        <v>849</v>
      </c>
      <c r="N109" s="12" t="s">
        <v>850</v>
      </c>
      <c r="O109" s="12" t="s">
        <v>99</v>
      </c>
      <c r="P109" s="15" t="s">
        <v>81</v>
      </c>
      <c r="Q109" s="12" t="s">
        <v>851</v>
      </c>
      <c r="R109" s="13"/>
    </row>
    <row r="110" customFormat="false" ht="102" hidden="false" customHeight="true" outlineLevel="0" collapsed="false">
      <c r="A110" s="11" t="s">
        <v>852</v>
      </c>
      <c r="B110" s="12" t="s">
        <v>843</v>
      </c>
      <c r="C110" s="12" t="s">
        <v>853</v>
      </c>
      <c r="D110" s="13"/>
      <c r="E110" s="13" t="s">
        <v>46</v>
      </c>
      <c r="F110" s="12" t="s">
        <v>854</v>
      </c>
      <c r="G110" s="12" t="s">
        <v>855</v>
      </c>
      <c r="H110" s="12" t="s">
        <v>99</v>
      </c>
      <c r="I110" s="12" t="s">
        <v>99</v>
      </c>
      <c r="J110" s="12" t="s">
        <v>99</v>
      </c>
      <c r="K110" s="12" t="s">
        <v>856</v>
      </c>
      <c r="L110" s="14" t="s">
        <v>857</v>
      </c>
      <c r="M110" s="14" t="s">
        <v>858</v>
      </c>
      <c r="N110" s="12" t="s">
        <v>859</v>
      </c>
      <c r="O110" s="15" t="s">
        <v>64</v>
      </c>
      <c r="P110" s="15" t="s">
        <v>81</v>
      </c>
      <c r="Q110" s="12" t="s">
        <v>860</v>
      </c>
      <c r="R110" s="13"/>
    </row>
    <row r="111" customFormat="false" ht="126" hidden="false" customHeight="true" outlineLevel="0" collapsed="false">
      <c r="A111" s="11" t="s">
        <v>861</v>
      </c>
      <c r="B111" s="12" t="s">
        <v>843</v>
      </c>
      <c r="C111" s="12" t="s">
        <v>862</v>
      </c>
      <c r="D111" s="13"/>
      <c r="E111" s="13" t="s">
        <v>46</v>
      </c>
      <c r="F111" s="12" t="s">
        <v>863</v>
      </c>
      <c r="G111" s="12" t="s">
        <v>864</v>
      </c>
      <c r="H111" s="12" t="s">
        <v>865</v>
      </c>
      <c r="I111" s="12" t="s">
        <v>99</v>
      </c>
      <c r="J111" s="12" t="s">
        <v>99</v>
      </c>
      <c r="K111" s="12" t="s">
        <v>866</v>
      </c>
      <c r="L111" s="14" t="s">
        <v>867</v>
      </c>
      <c r="M111" s="14" t="s">
        <v>868</v>
      </c>
      <c r="N111" s="12" t="s">
        <v>869</v>
      </c>
      <c r="O111" s="15" t="s">
        <v>64</v>
      </c>
      <c r="P111" s="15" t="s">
        <v>81</v>
      </c>
      <c r="Q111" s="12" t="s">
        <v>870</v>
      </c>
      <c r="R111" s="13"/>
    </row>
    <row r="112" customFormat="false" ht="19.5" hidden="false" customHeight="true" outlineLevel="0" collapsed="false">
      <c r="A112" s="10" t="s">
        <v>871</v>
      </c>
      <c r="B112" s="10"/>
      <c r="C112" s="10"/>
      <c r="D112" s="10"/>
      <c r="E112" s="10"/>
      <c r="F112" s="10"/>
      <c r="G112" s="10"/>
      <c r="H112" s="10"/>
      <c r="I112" s="10"/>
      <c r="J112" s="10"/>
      <c r="K112" s="10"/>
      <c r="L112" s="10"/>
      <c r="M112" s="10"/>
      <c r="N112" s="10"/>
      <c r="O112" s="10"/>
      <c r="P112" s="10"/>
      <c r="Q112" s="10"/>
      <c r="R112" s="10"/>
    </row>
    <row r="113" customFormat="false" ht="90" hidden="false" customHeight="true" outlineLevel="0" collapsed="false">
      <c r="A113" s="11" t="s">
        <v>872</v>
      </c>
      <c r="B113" s="12" t="s">
        <v>871</v>
      </c>
      <c r="C113" s="12" t="s">
        <v>873</v>
      </c>
      <c r="D113" s="13"/>
      <c r="E113" s="13" t="s">
        <v>46</v>
      </c>
      <c r="F113" s="12" t="s">
        <v>874</v>
      </c>
      <c r="G113" s="12" t="s">
        <v>875</v>
      </c>
      <c r="H113" s="12" t="s">
        <v>99</v>
      </c>
      <c r="I113" s="12" t="s">
        <v>99</v>
      </c>
      <c r="J113" s="12" t="s">
        <v>99</v>
      </c>
      <c r="K113" s="12" t="s">
        <v>876</v>
      </c>
      <c r="L113" s="14" t="s">
        <v>877</v>
      </c>
      <c r="M113" s="14" t="s">
        <v>878</v>
      </c>
      <c r="N113" s="12" t="s">
        <v>879</v>
      </c>
      <c r="O113" s="15" t="s">
        <v>64</v>
      </c>
      <c r="P113" s="15" t="s">
        <v>81</v>
      </c>
      <c r="Q113" s="12" t="s">
        <v>880</v>
      </c>
      <c r="R113" s="13"/>
    </row>
    <row r="114" customFormat="false" ht="114" hidden="false" customHeight="true" outlineLevel="0" collapsed="false">
      <c r="A114" s="11" t="s">
        <v>881</v>
      </c>
      <c r="B114" s="12" t="s">
        <v>871</v>
      </c>
      <c r="C114" s="12" t="s">
        <v>882</v>
      </c>
      <c r="D114" s="13"/>
      <c r="E114" s="13" t="s">
        <v>46</v>
      </c>
      <c r="F114" s="12" t="s">
        <v>883</v>
      </c>
      <c r="G114" s="12" t="s">
        <v>99</v>
      </c>
      <c r="H114" s="12" t="s">
        <v>884</v>
      </c>
      <c r="I114" s="12" t="s">
        <v>99</v>
      </c>
      <c r="J114" s="12" t="s">
        <v>99</v>
      </c>
      <c r="K114" s="12" t="s">
        <v>885</v>
      </c>
      <c r="L114" s="14" t="s">
        <v>886</v>
      </c>
      <c r="M114" s="14" t="s">
        <v>887</v>
      </c>
      <c r="N114" s="12" t="s">
        <v>888</v>
      </c>
      <c r="O114" s="15" t="s">
        <v>64</v>
      </c>
      <c r="P114" s="15" t="s">
        <v>81</v>
      </c>
      <c r="Q114" s="12" t="s">
        <v>889</v>
      </c>
      <c r="R114" s="13"/>
    </row>
    <row r="115" customFormat="false" ht="78" hidden="false" customHeight="true" outlineLevel="0" collapsed="false">
      <c r="A115" s="11" t="s">
        <v>890</v>
      </c>
      <c r="B115" s="12" t="s">
        <v>871</v>
      </c>
      <c r="C115" s="12" t="s">
        <v>891</v>
      </c>
      <c r="D115" s="13"/>
      <c r="E115" s="13" t="s">
        <v>46</v>
      </c>
      <c r="F115" s="12" t="s">
        <v>892</v>
      </c>
      <c r="G115" s="12" t="s">
        <v>99</v>
      </c>
      <c r="H115" s="12" t="s">
        <v>893</v>
      </c>
      <c r="I115" s="12" t="s">
        <v>99</v>
      </c>
      <c r="J115" s="12" t="s">
        <v>99</v>
      </c>
      <c r="K115" s="12" t="s">
        <v>76</v>
      </c>
      <c r="L115" s="14" t="s">
        <v>894</v>
      </c>
      <c r="M115" s="14" t="s">
        <v>895</v>
      </c>
      <c r="N115" s="12" t="s">
        <v>896</v>
      </c>
      <c r="O115" s="15" t="s">
        <v>64</v>
      </c>
      <c r="P115" s="15" t="s">
        <v>81</v>
      </c>
      <c r="Q115" s="12" t="s">
        <v>897</v>
      </c>
      <c r="R115" s="13"/>
    </row>
    <row r="116" customFormat="false" ht="90" hidden="false" customHeight="true" outlineLevel="0" collapsed="false">
      <c r="A116" s="11" t="s">
        <v>898</v>
      </c>
      <c r="B116" s="12" t="s">
        <v>871</v>
      </c>
      <c r="C116" s="12" t="s">
        <v>899</v>
      </c>
      <c r="D116" s="13"/>
      <c r="E116" s="13" t="s">
        <v>46</v>
      </c>
      <c r="F116" s="12" t="s">
        <v>900</v>
      </c>
      <c r="G116" s="12" t="s">
        <v>99</v>
      </c>
      <c r="H116" s="12" t="s">
        <v>99</v>
      </c>
      <c r="I116" s="12" t="s">
        <v>99</v>
      </c>
      <c r="J116" s="12" t="s">
        <v>99</v>
      </c>
      <c r="K116" s="12" t="s">
        <v>76</v>
      </c>
      <c r="L116" s="14" t="s">
        <v>901</v>
      </c>
      <c r="M116" s="14" t="s">
        <v>902</v>
      </c>
      <c r="N116" s="12" t="s">
        <v>903</v>
      </c>
      <c r="O116" s="15" t="s">
        <v>64</v>
      </c>
      <c r="P116" s="15" t="s">
        <v>81</v>
      </c>
      <c r="Q116" s="12" t="s">
        <v>904</v>
      </c>
      <c r="R116" s="13"/>
    </row>
    <row r="117" customFormat="false" ht="19.5" hidden="false" customHeight="true" outlineLevel="0" collapsed="false">
      <c r="A117" s="10" t="s">
        <v>905</v>
      </c>
      <c r="B117" s="10"/>
      <c r="C117" s="10"/>
      <c r="D117" s="10"/>
      <c r="E117" s="10"/>
      <c r="F117" s="10"/>
      <c r="G117" s="10"/>
      <c r="H117" s="10"/>
      <c r="I117" s="10"/>
      <c r="J117" s="10"/>
      <c r="K117" s="10"/>
      <c r="L117" s="10"/>
      <c r="M117" s="10"/>
      <c r="N117" s="10"/>
      <c r="O117" s="10"/>
      <c r="P117" s="10"/>
      <c r="Q117" s="10"/>
      <c r="R117" s="10"/>
    </row>
    <row r="118" customFormat="false" ht="78" hidden="false" customHeight="true" outlineLevel="0" collapsed="false">
      <c r="A118" s="11" t="s">
        <v>906</v>
      </c>
      <c r="B118" s="12" t="s">
        <v>905</v>
      </c>
      <c r="C118" s="12" t="s">
        <v>907</v>
      </c>
      <c r="D118" s="13"/>
      <c r="E118" s="13" t="s">
        <v>46</v>
      </c>
      <c r="F118" s="12" t="s">
        <v>908</v>
      </c>
      <c r="G118" s="12" t="s">
        <v>909</v>
      </c>
      <c r="H118" s="12" t="s">
        <v>99</v>
      </c>
      <c r="I118" s="12" t="s">
        <v>99</v>
      </c>
      <c r="J118" s="12" t="s">
        <v>99</v>
      </c>
      <c r="K118" s="12" t="s">
        <v>99</v>
      </c>
      <c r="L118" s="14" t="s">
        <v>910</v>
      </c>
      <c r="M118" s="14" t="s">
        <v>911</v>
      </c>
      <c r="N118" s="12" t="s">
        <v>912</v>
      </c>
      <c r="O118" s="12" t="s">
        <v>99</v>
      </c>
      <c r="P118" s="15" t="s">
        <v>81</v>
      </c>
      <c r="Q118" s="12" t="s">
        <v>913</v>
      </c>
      <c r="R118" s="13"/>
    </row>
    <row r="119" customFormat="false" ht="102" hidden="false" customHeight="true" outlineLevel="0" collapsed="false">
      <c r="A119" s="11" t="s">
        <v>914</v>
      </c>
      <c r="B119" s="12" t="s">
        <v>905</v>
      </c>
      <c r="C119" s="12" t="s">
        <v>915</v>
      </c>
      <c r="D119" s="13"/>
      <c r="E119" s="13" t="s">
        <v>46</v>
      </c>
      <c r="F119" s="12" t="s">
        <v>916</v>
      </c>
      <c r="G119" s="12" t="s">
        <v>345</v>
      </c>
      <c r="H119" s="12" t="s">
        <v>99</v>
      </c>
      <c r="I119" s="12" t="s">
        <v>99</v>
      </c>
      <c r="J119" s="12" t="s">
        <v>99</v>
      </c>
      <c r="K119" s="12" t="s">
        <v>99</v>
      </c>
      <c r="L119" s="14" t="s">
        <v>917</v>
      </c>
      <c r="M119" s="14" t="s">
        <v>918</v>
      </c>
      <c r="N119" s="12" t="s">
        <v>919</v>
      </c>
      <c r="O119" s="15" t="s">
        <v>64</v>
      </c>
      <c r="P119" s="15" t="s">
        <v>81</v>
      </c>
      <c r="Q119" s="12" t="s">
        <v>920</v>
      </c>
      <c r="R119" s="13"/>
    </row>
    <row r="120" customFormat="false" ht="90" hidden="false" customHeight="true" outlineLevel="0" collapsed="false">
      <c r="A120" s="11" t="s">
        <v>921</v>
      </c>
      <c r="B120" s="12" t="s">
        <v>905</v>
      </c>
      <c r="C120" s="12" t="s">
        <v>922</v>
      </c>
      <c r="D120" s="13"/>
      <c r="E120" s="13" t="s">
        <v>46</v>
      </c>
      <c r="F120" s="12" t="s">
        <v>923</v>
      </c>
      <c r="G120" s="12" t="s">
        <v>924</v>
      </c>
      <c r="H120" s="12" t="s">
        <v>99</v>
      </c>
      <c r="I120" s="12" t="s">
        <v>99</v>
      </c>
      <c r="J120" s="12" t="s">
        <v>99</v>
      </c>
      <c r="K120" s="12" t="s">
        <v>99</v>
      </c>
      <c r="L120" s="14" t="s">
        <v>925</v>
      </c>
      <c r="M120" s="14" t="s">
        <v>926</v>
      </c>
      <c r="N120" s="12" t="s">
        <v>927</v>
      </c>
      <c r="O120" s="12" t="s">
        <v>99</v>
      </c>
      <c r="P120" s="15" t="s">
        <v>81</v>
      </c>
      <c r="Q120" s="12" t="s">
        <v>928</v>
      </c>
      <c r="R120" s="13"/>
    </row>
    <row r="121" customFormat="false" ht="90" hidden="false" customHeight="true" outlineLevel="0" collapsed="false">
      <c r="A121" s="11" t="s">
        <v>929</v>
      </c>
      <c r="B121" s="12" t="s">
        <v>905</v>
      </c>
      <c r="C121" s="12" t="s">
        <v>930</v>
      </c>
      <c r="D121" s="13"/>
      <c r="E121" s="13" t="s">
        <v>46</v>
      </c>
      <c r="F121" s="12" t="s">
        <v>931</v>
      </c>
      <c r="G121" s="12" t="s">
        <v>932</v>
      </c>
      <c r="H121" s="12" t="s">
        <v>99</v>
      </c>
      <c r="I121" s="12" t="s">
        <v>99</v>
      </c>
      <c r="J121" s="12" t="s">
        <v>99</v>
      </c>
      <c r="K121" s="12" t="s">
        <v>99</v>
      </c>
      <c r="L121" s="14" t="s">
        <v>933</v>
      </c>
      <c r="M121" s="14" t="s">
        <v>934</v>
      </c>
      <c r="N121" s="12" t="s">
        <v>935</v>
      </c>
      <c r="O121" s="12" t="s">
        <v>99</v>
      </c>
      <c r="P121" s="15" t="s">
        <v>81</v>
      </c>
      <c r="Q121" s="12" t="s">
        <v>936</v>
      </c>
      <c r="R121" s="13"/>
    </row>
    <row r="122" customFormat="false" ht="78" hidden="false" customHeight="true" outlineLevel="0" collapsed="false">
      <c r="A122" s="11" t="s">
        <v>937</v>
      </c>
      <c r="B122" s="12" t="s">
        <v>905</v>
      </c>
      <c r="C122" s="12" t="s">
        <v>938</v>
      </c>
      <c r="D122" s="13"/>
      <c r="E122" s="13" t="s">
        <v>46</v>
      </c>
      <c r="F122" s="12" t="s">
        <v>939</v>
      </c>
      <c r="G122" s="12" t="s">
        <v>329</v>
      </c>
      <c r="H122" s="12" t="s">
        <v>99</v>
      </c>
      <c r="I122" s="12" t="s">
        <v>99</v>
      </c>
      <c r="J122" s="12" t="s">
        <v>99</v>
      </c>
      <c r="K122" s="12" t="s">
        <v>76</v>
      </c>
      <c r="L122" s="14" t="s">
        <v>940</v>
      </c>
      <c r="M122" s="14" t="s">
        <v>941</v>
      </c>
      <c r="N122" s="12" t="s">
        <v>942</v>
      </c>
      <c r="O122" s="15" t="s">
        <v>64</v>
      </c>
      <c r="P122" s="15" t="s">
        <v>81</v>
      </c>
      <c r="Q122" s="12" t="s">
        <v>943</v>
      </c>
      <c r="R122" s="13"/>
    </row>
    <row r="123" customFormat="false" ht="66" hidden="false" customHeight="true" outlineLevel="0" collapsed="false">
      <c r="A123" s="11" t="s">
        <v>944</v>
      </c>
      <c r="B123" s="12" t="s">
        <v>905</v>
      </c>
      <c r="C123" s="12" t="s">
        <v>945</v>
      </c>
      <c r="D123" s="13"/>
      <c r="E123" s="13" t="s">
        <v>46</v>
      </c>
      <c r="F123" s="12" t="s">
        <v>946</v>
      </c>
      <c r="G123" s="12" t="s">
        <v>947</v>
      </c>
      <c r="H123" s="12" t="s">
        <v>99</v>
      </c>
      <c r="I123" s="12" t="s">
        <v>99</v>
      </c>
      <c r="J123" s="12" t="s">
        <v>99</v>
      </c>
      <c r="K123" s="12" t="s">
        <v>76</v>
      </c>
      <c r="L123" s="14" t="s">
        <v>948</v>
      </c>
      <c r="M123" s="14" t="s">
        <v>949</v>
      </c>
      <c r="N123" s="12" t="s">
        <v>950</v>
      </c>
      <c r="O123" s="15" t="s">
        <v>64</v>
      </c>
      <c r="P123" s="15" t="s">
        <v>81</v>
      </c>
      <c r="Q123" s="12" t="s">
        <v>951</v>
      </c>
      <c r="R123" s="13"/>
    </row>
    <row r="124" customFormat="false" ht="78" hidden="false" customHeight="true" outlineLevel="0" collapsed="false">
      <c r="A124" s="11" t="s">
        <v>952</v>
      </c>
      <c r="B124" s="12" t="s">
        <v>905</v>
      </c>
      <c r="C124" s="12" t="s">
        <v>953</v>
      </c>
      <c r="D124" s="13"/>
      <c r="E124" s="13" t="s">
        <v>46</v>
      </c>
      <c r="F124" s="12" t="s">
        <v>954</v>
      </c>
      <c r="G124" s="12" t="s">
        <v>955</v>
      </c>
      <c r="H124" s="12" t="s">
        <v>99</v>
      </c>
      <c r="I124" s="12" t="s">
        <v>99</v>
      </c>
      <c r="J124" s="12" t="s">
        <v>99</v>
      </c>
      <c r="K124" s="12" t="s">
        <v>76</v>
      </c>
      <c r="L124" s="14" t="s">
        <v>956</v>
      </c>
      <c r="M124" s="14" t="s">
        <v>957</v>
      </c>
      <c r="N124" s="12" t="s">
        <v>958</v>
      </c>
      <c r="O124" s="15" t="s">
        <v>64</v>
      </c>
      <c r="P124" s="15" t="s">
        <v>81</v>
      </c>
      <c r="Q124" s="12" t="s">
        <v>959</v>
      </c>
      <c r="R124" s="13"/>
    </row>
    <row r="125" customFormat="false" ht="90" hidden="false" customHeight="true" outlineLevel="0" collapsed="false">
      <c r="A125" s="11" t="s">
        <v>960</v>
      </c>
      <c r="B125" s="12" t="s">
        <v>905</v>
      </c>
      <c r="C125" s="12" t="s">
        <v>961</v>
      </c>
      <c r="D125" s="13"/>
      <c r="E125" s="13" t="s">
        <v>46</v>
      </c>
      <c r="F125" s="12" t="s">
        <v>962</v>
      </c>
      <c r="G125" s="12" t="s">
        <v>963</v>
      </c>
      <c r="H125" s="12" t="s">
        <v>964</v>
      </c>
      <c r="I125" s="12" t="s">
        <v>99</v>
      </c>
      <c r="J125" s="12" t="s">
        <v>99</v>
      </c>
      <c r="K125" s="12" t="s">
        <v>76</v>
      </c>
      <c r="L125" s="14" t="s">
        <v>965</v>
      </c>
      <c r="M125" s="14" t="s">
        <v>966</v>
      </c>
      <c r="N125" s="12" t="s">
        <v>967</v>
      </c>
      <c r="O125" s="15" t="s">
        <v>64</v>
      </c>
      <c r="P125" s="15" t="s">
        <v>81</v>
      </c>
      <c r="Q125" s="12" t="s">
        <v>968</v>
      </c>
      <c r="R125" s="13"/>
    </row>
    <row r="126" customFormat="false" ht="78" hidden="false" customHeight="true" outlineLevel="0" collapsed="false">
      <c r="A126" s="11" t="s">
        <v>969</v>
      </c>
      <c r="B126" s="12" t="s">
        <v>905</v>
      </c>
      <c r="C126" s="12" t="s">
        <v>970</v>
      </c>
      <c r="D126" s="13"/>
      <c r="E126" s="13" t="s">
        <v>46</v>
      </c>
      <c r="F126" s="12" t="s">
        <v>971</v>
      </c>
      <c r="G126" s="12" t="s">
        <v>99</v>
      </c>
      <c r="H126" s="12" t="s">
        <v>99</v>
      </c>
      <c r="I126" s="12" t="s">
        <v>99</v>
      </c>
      <c r="J126" s="12" t="s">
        <v>99</v>
      </c>
      <c r="K126" s="12" t="s">
        <v>76</v>
      </c>
      <c r="L126" s="14" t="s">
        <v>972</v>
      </c>
      <c r="M126" s="14" t="s">
        <v>973</v>
      </c>
      <c r="N126" s="12" t="s">
        <v>974</v>
      </c>
      <c r="O126" s="15" t="s">
        <v>64</v>
      </c>
      <c r="P126" s="15" t="s">
        <v>81</v>
      </c>
      <c r="Q126" s="12" t="s">
        <v>975</v>
      </c>
      <c r="R126" s="13"/>
    </row>
    <row r="127" customFormat="false" ht="19.5" hidden="false" customHeight="true" outlineLevel="0" collapsed="false">
      <c r="A127" s="10" t="s">
        <v>976</v>
      </c>
      <c r="B127" s="10"/>
      <c r="C127" s="10"/>
      <c r="D127" s="10"/>
      <c r="E127" s="10"/>
      <c r="F127" s="10"/>
      <c r="G127" s="10"/>
      <c r="H127" s="10"/>
      <c r="I127" s="10"/>
      <c r="J127" s="10"/>
      <c r="K127" s="10"/>
      <c r="L127" s="10"/>
      <c r="M127" s="10"/>
      <c r="N127" s="10"/>
      <c r="O127" s="10"/>
      <c r="P127" s="10"/>
      <c r="Q127" s="10"/>
      <c r="R127" s="10"/>
    </row>
    <row r="128" customFormat="false" ht="102" hidden="false" customHeight="true" outlineLevel="0" collapsed="false">
      <c r="A128" s="11" t="s">
        <v>977</v>
      </c>
      <c r="B128" s="12" t="s">
        <v>976</v>
      </c>
      <c r="C128" s="12" t="s">
        <v>978</v>
      </c>
      <c r="D128" s="13"/>
      <c r="E128" s="13" t="s">
        <v>46</v>
      </c>
      <c r="F128" s="12" t="s">
        <v>979</v>
      </c>
      <c r="G128" s="12" t="s">
        <v>99</v>
      </c>
      <c r="H128" s="12" t="s">
        <v>99</v>
      </c>
      <c r="I128" s="12" t="s">
        <v>99</v>
      </c>
      <c r="J128" s="12" t="s">
        <v>99</v>
      </c>
      <c r="K128" s="12" t="s">
        <v>99</v>
      </c>
      <c r="L128" s="14" t="s">
        <v>980</v>
      </c>
      <c r="M128" s="14" t="s">
        <v>981</v>
      </c>
      <c r="N128" s="12" t="s">
        <v>982</v>
      </c>
      <c r="O128" s="15" t="s">
        <v>64</v>
      </c>
      <c r="P128" s="15" t="s">
        <v>81</v>
      </c>
      <c r="Q128" s="12" t="s">
        <v>983</v>
      </c>
      <c r="R128" s="13"/>
    </row>
    <row r="129" customFormat="false" ht="114" hidden="false" customHeight="true" outlineLevel="0" collapsed="false">
      <c r="A129" s="11" t="s">
        <v>984</v>
      </c>
      <c r="B129" s="12" t="s">
        <v>976</v>
      </c>
      <c r="C129" s="12" t="s">
        <v>985</v>
      </c>
      <c r="D129" s="13"/>
      <c r="E129" s="13" t="s">
        <v>46</v>
      </c>
      <c r="F129" s="12" t="s">
        <v>986</v>
      </c>
      <c r="G129" s="12" t="s">
        <v>99</v>
      </c>
      <c r="H129" s="12" t="s">
        <v>99</v>
      </c>
      <c r="I129" s="12" t="s">
        <v>99</v>
      </c>
      <c r="J129" s="12" t="s">
        <v>99</v>
      </c>
      <c r="K129" s="12" t="s">
        <v>99</v>
      </c>
      <c r="L129" s="14" t="s">
        <v>987</v>
      </c>
      <c r="M129" s="14" t="s">
        <v>988</v>
      </c>
      <c r="N129" s="12" t="s">
        <v>989</v>
      </c>
      <c r="O129" s="12" t="s">
        <v>99</v>
      </c>
      <c r="P129" s="15" t="s">
        <v>81</v>
      </c>
      <c r="Q129" s="12" t="s">
        <v>990</v>
      </c>
      <c r="R129" s="13"/>
    </row>
    <row r="130" customFormat="false" ht="78" hidden="false" customHeight="true" outlineLevel="0" collapsed="false">
      <c r="A130" s="11" t="s">
        <v>991</v>
      </c>
      <c r="B130" s="12" t="s">
        <v>976</v>
      </c>
      <c r="C130" s="12" t="s">
        <v>992</v>
      </c>
      <c r="D130" s="13"/>
      <c r="E130" s="13" t="s">
        <v>46</v>
      </c>
      <c r="F130" s="12" t="s">
        <v>993</v>
      </c>
      <c r="G130" s="12" t="s">
        <v>99</v>
      </c>
      <c r="H130" s="12" t="s">
        <v>99</v>
      </c>
      <c r="I130" s="12" t="s">
        <v>99</v>
      </c>
      <c r="J130" s="12" t="s">
        <v>99</v>
      </c>
      <c r="K130" s="12" t="s">
        <v>99</v>
      </c>
      <c r="L130" s="14" t="s">
        <v>994</v>
      </c>
      <c r="M130" s="14" t="s">
        <v>99</v>
      </c>
      <c r="N130" s="12" t="s">
        <v>995</v>
      </c>
      <c r="O130" s="15" t="s">
        <v>64</v>
      </c>
      <c r="P130" s="15" t="s">
        <v>81</v>
      </c>
      <c r="Q130" s="12" t="s">
        <v>996</v>
      </c>
      <c r="R130" s="13"/>
    </row>
    <row r="131" customFormat="false" ht="78" hidden="false" customHeight="true" outlineLevel="0" collapsed="false">
      <c r="A131" s="11" t="s">
        <v>997</v>
      </c>
      <c r="B131" s="12" t="s">
        <v>976</v>
      </c>
      <c r="C131" s="12" t="s">
        <v>998</v>
      </c>
      <c r="D131" s="13"/>
      <c r="E131" s="13" t="s">
        <v>46</v>
      </c>
      <c r="F131" s="12" t="s">
        <v>999</v>
      </c>
      <c r="G131" s="12" t="s">
        <v>99</v>
      </c>
      <c r="H131" s="12" t="s">
        <v>99</v>
      </c>
      <c r="I131" s="12" t="s">
        <v>99</v>
      </c>
      <c r="J131" s="12" t="s">
        <v>99</v>
      </c>
      <c r="K131" s="12" t="s">
        <v>99</v>
      </c>
      <c r="L131" s="14" t="s">
        <v>1000</v>
      </c>
      <c r="M131" s="14" t="s">
        <v>99</v>
      </c>
      <c r="N131" s="12" t="s">
        <v>1001</v>
      </c>
      <c r="O131" s="15" t="s">
        <v>64</v>
      </c>
      <c r="P131" s="15" t="s">
        <v>81</v>
      </c>
      <c r="Q131" s="12" t="s">
        <v>1002</v>
      </c>
      <c r="R131" s="13"/>
    </row>
    <row r="132" customFormat="false" ht="19.5" hidden="false" customHeight="true" outlineLevel="0" collapsed="false">
      <c r="A132" s="10" t="s">
        <v>1003</v>
      </c>
      <c r="B132" s="10"/>
      <c r="C132" s="10"/>
      <c r="D132" s="10"/>
      <c r="E132" s="10"/>
      <c r="F132" s="10"/>
      <c r="G132" s="10"/>
      <c r="H132" s="10"/>
      <c r="I132" s="10"/>
      <c r="J132" s="10"/>
      <c r="K132" s="10"/>
      <c r="L132" s="10"/>
      <c r="M132" s="10"/>
      <c r="N132" s="10"/>
      <c r="O132" s="10"/>
      <c r="P132" s="10"/>
      <c r="Q132" s="10"/>
      <c r="R132" s="10"/>
    </row>
    <row r="133" customFormat="false" ht="90" hidden="false" customHeight="true" outlineLevel="0" collapsed="false">
      <c r="A133" s="11" t="s">
        <v>1004</v>
      </c>
      <c r="B133" s="12" t="s">
        <v>1003</v>
      </c>
      <c r="C133" s="12" t="s">
        <v>1005</v>
      </c>
      <c r="D133" s="13"/>
      <c r="E133" s="13" t="s">
        <v>46</v>
      </c>
      <c r="F133" s="12" t="s">
        <v>1006</v>
      </c>
      <c r="G133" s="12" t="s">
        <v>345</v>
      </c>
      <c r="H133" s="12" t="s">
        <v>1007</v>
      </c>
      <c r="I133" s="12" t="s">
        <v>99</v>
      </c>
      <c r="J133" s="12" t="s">
        <v>99</v>
      </c>
      <c r="K133" s="12" t="s">
        <v>1008</v>
      </c>
      <c r="L133" s="14" t="s">
        <v>1009</v>
      </c>
      <c r="M133" s="14" t="s">
        <v>1010</v>
      </c>
      <c r="N133" s="12" t="s">
        <v>1011</v>
      </c>
      <c r="O133" s="15" t="s">
        <v>64</v>
      </c>
      <c r="P133" s="15" t="s">
        <v>81</v>
      </c>
      <c r="Q133" s="12" t="s">
        <v>1012</v>
      </c>
      <c r="R133" s="13"/>
    </row>
    <row r="134" customFormat="false" ht="19.5" hidden="false" customHeight="true" outlineLevel="0" collapsed="false">
      <c r="A134" s="10" t="s">
        <v>295</v>
      </c>
      <c r="B134" s="10"/>
      <c r="C134" s="10"/>
      <c r="D134" s="10"/>
      <c r="E134" s="10"/>
      <c r="F134" s="10"/>
      <c r="G134" s="10"/>
      <c r="H134" s="10"/>
      <c r="I134" s="10"/>
      <c r="J134" s="10"/>
      <c r="K134" s="10"/>
      <c r="L134" s="10"/>
      <c r="M134" s="10"/>
      <c r="N134" s="10"/>
      <c r="O134" s="10"/>
      <c r="P134" s="10"/>
      <c r="Q134" s="10"/>
      <c r="R134" s="10"/>
    </row>
    <row r="135" customFormat="false" ht="102" hidden="false" customHeight="true" outlineLevel="0" collapsed="false">
      <c r="A135" s="11" t="s">
        <v>1013</v>
      </c>
      <c r="B135" s="12" t="s">
        <v>295</v>
      </c>
      <c r="C135" s="12" t="s">
        <v>1014</v>
      </c>
      <c r="D135" s="13"/>
      <c r="E135" s="13" t="s">
        <v>46</v>
      </c>
      <c r="F135" s="12" t="s">
        <v>1015</v>
      </c>
      <c r="G135" s="12" t="s">
        <v>99</v>
      </c>
      <c r="H135" s="12" t="s">
        <v>1016</v>
      </c>
      <c r="I135" s="12" t="s">
        <v>99</v>
      </c>
      <c r="J135" s="12" t="s">
        <v>99</v>
      </c>
      <c r="K135" s="12" t="s">
        <v>76</v>
      </c>
      <c r="L135" s="14" t="s">
        <v>1017</v>
      </c>
      <c r="M135" s="14" t="s">
        <v>1018</v>
      </c>
      <c r="N135" s="12" t="s">
        <v>1019</v>
      </c>
      <c r="O135" s="15" t="s">
        <v>64</v>
      </c>
      <c r="P135" s="15" t="s">
        <v>81</v>
      </c>
      <c r="Q135" s="12" t="s">
        <v>1020</v>
      </c>
      <c r="R135" s="13"/>
    </row>
    <row r="136" customFormat="false" ht="90" hidden="false" customHeight="true" outlineLevel="0" collapsed="false">
      <c r="A136" s="11" t="s">
        <v>1021</v>
      </c>
      <c r="B136" s="12" t="s">
        <v>295</v>
      </c>
      <c r="C136" s="12" t="s">
        <v>1022</v>
      </c>
      <c r="D136" s="13"/>
      <c r="E136" s="13" t="s">
        <v>46</v>
      </c>
      <c r="F136" s="12" t="s">
        <v>1023</v>
      </c>
      <c r="G136" s="12" t="s">
        <v>99</v>
      </c>
      <c r="H136" s="12" t="s">
        <v>1024</v>
      </c>
      <c r="I136" s="12" t="s">
        <v>99</v>
      </c>
      <c r="J136" s="12" t="s">
        <v>99</v>
      </c>
      <c r="K136" s="12" t="s">
        <v>76</v>
      </c>
      <c r="L136" s="14" t="s">
        <v>1025</v>
      </c>
      <c r="M136" s="14" t="s">
        <v>1026</v>
      </c>
      <c r="N136" s="12" t="s">
        <v>1027</v>
      </c>
      <c r="O136" s="15" t="s">
        <v>64</v>
      </c>
      <c r="P136" s="15" t="s">
        <v>81</v>
      </c>
      <c r="Q136" s="12" t="s">
        <v>1028</v>
      </c>
      <c r="R136" s="13"/>
    </row>
    <row r="137" customFormat="false" ht="19.5" hidden="false" customHeight="true" outlineLevel="0" collapsed="false">
      <c r="A137" s="10" t="s">
        <v>905</v>
      </c>
      <c r="B137" s="10"/>
      <c r="C137" s="10"/>
      <c r="D137" s="10"/>
      <c r="E137" s="10"/>
      <c r="F137" s="10"/>
      <c r="G137" s="10"/>
      <c r="H137" s="10"/>
      <c r="I137" s="10"/>
      <c r="J137" s="10"/>
      <c r="K137" s="10"/>
      <c r="L137" s="10"/>
      <c r="M137" s="10"/>
      <c r="N137" s="10"/>
      <c r="O137" s="10"/>
      <c r="P137" s="10"/>
      <c r="Q137" s="10"/>
      <c r="R137" s="10"/>
    </row>
    <row r="138" customFormat="false" ht="126" hidden="false" customHeight="true" outlineLevel="0" collapsed="false">
      <c r="A138" s="11" t="s">
        <v>1029</v>
      </c>
      <c r="B138" s="12" t="s">
        <v>905</v>
      </c>
      <c r="C138" s="12" t="s">
        <v>1030</v>
      </c>
      <c r="D138" s="13"/>
      <c r="E138" s="13" t="s">
        <v>46</v>
      </c>
      <c r="F138" s="12" t="s">
        <v>1031</v>
      </c>
      <c r="G138" s="12" t="s">
        <v>99</v>
      </c>
      <c r="H138" s="12" t="s">
        <v>1032</v>
      </c>
      <c r="I138" s="12" t="s">
        <v>99</v>
      </c>
      <c r="J138" s="12" t="s">
        <v>99</v>
      </c>
      <c r="K138" s="12" t="s">
        <v>76</v>
      </c>
      <c r="L138" s="14" t="s">
        <v>1033</v>
      </c>
      <c r="M138" s="14" t="s">
        <v>1034</v>
      </c>
      <c r="N138" s="12" t="s">
        <v>1035</v>
      </c>
      <c r="O138" s="15" t="s">
        <v>64</v>
      </c>
      <c r="P138" s="15" t="s">
        <v>81</v>
      </c>
      <c r="Q138" s="12" t="s">
        <v>1036</v>
      </c>
      <c r="R138" s="13"/>
    </row>
    <row r="139" customFormat="false" ht="19.5" hidden="false" customHeight="true" outlineLevel="0" collapsed="false">
      <c r="A139" s="10" t="s">
        <v>1037</v>
      </c>
      <c r="B139" s="10"/>
      <c r="C139" s="10"/>
      <c r="D139" s="10"/>
      <c r="E139" s="10"/>
      <c r="F139" s="10"/>
      <c r="G139" s="10"/>
      <c r="H139" s="10"/>
      <c r="I139" s="10"/>
      <c r="J139" s="10"/>
      <c r="K139" s="10"/>
      <c r="L139" s="10"/>
      <c r="M139" s="10"/>
      <c r="N139" s="10"/>
      <c r="O139" s="10"/>
      <c r="P139" s="10"/>
      <c r="Q139" s="10"/>
      <c r="R139" s="10"/>
    </row>
    <row r="140" customFormat="false" ht="78" hidden="false" customHeight="true" outlineLevel="0" collapsed="false">
      <c r="A140" s="11" t="s">
        <v>1038</v>
      </c>
      <c r="B140" s="12" t="s">
        <v>1037</v>
      </c>
      <c r="C140" s="12" t="s">
        <v>1039</v>
      </c>
      <c r="D140" s="13"/>
      <c r="E140" s="13" t="s">
        <v>46</v>
      </c>
      <c r="F140" s="12" t="s">
        <v>1040</v>
      </c>
      <c r="G140" s="12" t="s">
        <v>99</v>
      </c>
      <c r="H140" s="12" t="s">
        <v>99</v>
      </c>
      <c r="I140" s="12" t="s">
        <v>99</v>
      </c>
      <c r="J140" s="12" t="s">
        <v>99</v>
      </c>
      <c r="K140" s="12" t="s">
        <v>76</v>
      </c>
      <c r="L140" s="14" t="s">
        <v>1041</v>
      </c>
      <c r="M140" s="14" t="s">
        <v>1042</v>
      </c>
      <c r="N140" s="12" t="s">
        <v>1043</v>
      </c>
      <c r="O140" s="15" t="s">
        <v>64</v>
      </c>
      <c r="P140" s="15" t="s">
        <v>81</v>
      </c>
      <c r="Q140" s="12" t="s">
        <v>1044</v>
      </c>
      <c r="R140" s="13"/>
    </row>
    <row r="141" customFormat="false" ht="90" hidden="false" customHeight="true" outlineLevel="0" collapsed="false">
      <c r="A141" s="11" t="s">
        <v>1045</v>
      </c>
      <c r="B141" s="12" t="s">
        <v>1037</v>
      </c>
      <c r="C141" s="12" t="s">
        <v>1046</v>
      </c>
      <c r="D141" s="13"/>
      <c r="E141" s="13" t="s">
        <v>46</v>
      </c>
      <c r="F141" s="12" t="s">
        <v>1047</v>
      </c>
      <c r="G141" s="12" t="s">
        <v>99</v>
      </c>
      <c r="H141" s="12" t="s">
        <v>99</v>
      </c>
      <c r="I141" s="12" t="s">
        <v>99</v>
      </c>
      <c r="J141" s="12" t="s">
        <v>99</v>
      </c>
      <c r="K141" s="12" t="s">
        <v>76</v>
      </c>
      <c r="L141" s="14" t="s">
        <v>1048</v>
      </c>
      <c r="M141" s="14" t="s">
        <v>99</v>
      </c>
      <c r="N141" s="12" t="s">
        <v>1049</v>
      </c>
      <c r="O141" s="12" t="s">
        <v>99</v>
      </c>
      <c r="P141" s="15" t="s">
        <v>81</v>
      </c>
      <c r="Q141" s="12" t="s">
        <v>1050</v>
      </c>
      <c r="R141" s="13"/>
    </row>
    <row r="142" customFormat="false" ht="66" hidden="false" customHeight="true" outlineLevel="0" collapsed="false">
      <c r="A142" s="11" t="s">
        <v>1051</v>
      </c>
      <c r="B142" s="12" t="s">
        <v>1037</v>
      </c>
      <c r="C142" s="12" t="s">
        <v>1052</v>
      </c>
      <c r="D142" s="13"/>
      <c r="E142" s="13" t="s">
        <v>46</v>
      </c>
      <c r="F142" s="12" t="s">
        <v>1053</v>
      </c>
      <c r="G142" s="12" t="s">
        <v>99</v>
      </c>
      <c r="H142" s="12" t="s">
        <v>99</v>
      </c>
      <c r="I142" s="12" t="s">
        <v>99</v>
      </c>
      <c r="J142" s="12" t="s">
        <v>99</v>
      </c>
      <c r="K142" s="12" t="s">
        <v>722</v>
      </c>
      <c r="L142" s="14" t="s">
        <v>1054</v>
      </c>
      <c r="M142" s="14" t="s">
        <v>99</v>
      </c>
      <c r="N142" s="12" t="s">
        <v>1055</v>
      </c>
      <c r="O142" s="15" t="s">
        <v>64</v>
      </c>
      <c r="P142" s="15" t="s">
        <v>81</v>
      </c>
      <c r="Q142" s="12" t="s">
        <v>1056</v>
      </c>
      <c r="R142" s="13"/>
    </row>
    <row r="143" customFormat="false" ht="19.5" hidden="false" customHeight="true" outlineLevel="0" collapsed="false">
      <c r="A143" s="10" t="s">
        <v>1057</v>
      </c>
      <c r="B143" s="10"/>
      <c r="C143" s="10"/>
      <c r="D143" s="10"/>
      <c r="E143" s="10"/>
      <c r="F143" s="10"/>
      <c r="G143" s="10"/>
      <c r="H143" s="10"/>
      <c r="I143" s="10"/>
      <c r="J143" s="10"/>
      <c r="K143" s="10"/>
      <c r="L143" s="10"/>
      <c r="M143" s="10"/>
      <c r="N143" s="10"/>
      <c r="O143" s="10"/>
      <c r="P143" s="10"/>
      <c r="Q143" s="10"/>
      <c r="R143" s="10"/>
    </row>
    <row r="144" customFormat="false" ht="138" hidden="false" customHeight="true" outlineLevel="0" collapsed="false">
      <c r="A144" s="11" t="s">
        <v>1058</v>
      </c>
      <c r="B144" s="12" t="s">
        <v>1057</v>
      </c>
      <c r="C144" s="12" t="s">
        <v>1059</v>
      </c>
      <c r="D144" s="13"/>
      <c r="E144" s="13" t="s">
        <v>46</v>
      </c>
      <c r="F144" s="12" t="s">
        <v>1060</v>
      </c>
      <c r="G144" s="12" t="s">
        <v>99</v>
      </c>
      <c r="H144" s="12" t="s">
        <v>99</v>
      </c>
      <c r="I144" s="12" t="s">
        <v>99</v>
      </c>
      <c r="J144" s="12" t="s">
        <v>99</v>
      </c>
      <c r="K144" s="12" t="s">
        <v>99</v>
      </c>
      <c r="L144" s="14" t="s">
        <v>99</v>
      </c>
      <c r="M144" s="14" t="s">
        <v>99</v>
      </c>
      <c r="N144" s="12" t="s">
        <v>1061</v>
      </c>
      <c r="O144" s="12" t="s">
        <v>99</v>
      </c>
      <c r="P144" s="15" t="s">
        <v>81</v>
      </c>
      <c r="Q144" s="12" t="s">
        <v>1062</v>
      </c>
      <c r="R144" s="13"/>
    </row>
    <row r="145" customFormat="false" ht="19.5" hidden="false" customHeight="true" outlineLevel="0" collapsed="false">
      <c r="A145" s="10" t="s">
        <v>743</v>
      </c>
      <c r="B145" s="10"/>
      <c r="C145" s="10"/>
      <c r="D145" s="10"/>
      <c r="E145" s="10"/>
      <c r="F145" s="10"/>
      <c r="G145" s="10"/>
      <c r="H145" s="10"/>
      <c r="I145" s="10"/>
      <c r="J145" s="10"/>
      <c r="K145" s="10"/>
      <c r="L145" s="10"/>
      <c r="M145" s="10"/>
      <c r="N145" s="10"/>
      <c r="O145" s="10"/>
      <c r="P145" s="10"/>
      <c r="Q145" s="10"/>
      <c r="R145" s="10"/>
    </row>
    <row r="146" customFormat="false" ht="78" hidden="false" customHeight="true" outlineLevel="0" collapsed="false">
      <c r="A146" s="11" t="s">
        <v>1063</v>
      </c>
      <c r="B146" s="12" t="s">
        <v>743</v>
      </c>
      <c r="C146" s="12" t="s">
        <v>1064</v>
      </c>
      <c r="D146" s="13"/>
      <c r="E146" s="13" t="s">
        <v>46</v>
      </c>
      <c r="F146" s="12" t="s">
        <v>1065</v>
      </c>
      <c r="G146" s="12" t="s">
        <v>99</v>
      </c>
      <c r="H146" s="12" t="s">
        <v>573</v>
      </c>
      <c r="I146" s="12" t="s">
        <v>99</v>
      </c>
      <c r="J146" s="12" t="s">
        <v>99</v>
      </c>
      <c r="K146" s="12" t="s">
        <v>76</v>
      </c>
      <c r="L146" s="14" t="s">
        <v>1066</v>
      </c>
      <c r="M146" s="14" t="s">
        <v>1067</v>
      </c>
      <c r="N146" s="12" t="s">
        <v>1068</v>
      </c>
      <c r="O146" s="12" t="s">
        <v>99</v>
      </c>
      <c r="P146" s="15" t="s">
        <v>81</v>
      </c>
      <c r="Q146" s="12" t="s">
        <v>1069</v>
      </c>
      <c r="R146" s="13"/>
    </row>
    <row r="147" customFormat="false" ht="19.5" hidden="false" customHeight="true" outlineLevel="0" collapsed="false">
      <c r="A147" s="10" t="s">
        <v>1070</v>
      </c>
      <c r="B147" s="10"/>
      <c r="C147" s="10"/>
      <c r="D147" s="10"/>
      <c r="E147" s="10"/>
      <c r="F147" s="10"/>
      <c r="G147" s="10"/>
      <c r="H147" s="10"/>
      <c r="I147" s="10"/>
      <c r="J147" s="10"/>
      <c r="K147" s="10"/>
      <c r="L147" s="10"/>
      <c r="M147" s="10"/>
      <c r="N147" s="10"/>
      <c r="O147" s="10"/>
      <c r="P147" s="10"/>
      <c r="Q147" s="10"/>
      <c r="R147" s="10"/>
    </row>
    <row r="148" customFormat="false" ht="114" hidden="false" customHeight="true" outlineLevel="0" collapsed="false">
      <c r="A148" s="11" t="s">
        <v>1071</v>
      </c>
      <c r="B148" s="12" t="s">
        <v>1070</v>
      </c>
      <c r="C148" s="12" t="s">
        <v>1072</v>
      </c>
      <c r="D148" s="13"/>
      <c r="E148" s="13" t="s">
        <v>46</v>
      </c>
      <c r="F148" s="12" t="s">
        <v>1073</v>
      </c>
      <c r="G148" s="12" t="s">
        <v>99</v>
      </c>
      <c r="H148" s="12" t="s">
        <v>99</v>
      </c>
      <c r="I148" s="12" t="s">
        <v>99</v>
      </c>
      <c r="J148" s="12" t="s">
        <v>99</v>
      </c>
      <c r="K148" s="12" t="s">
        <v>1074</v>
      </c>
      <c r="L148" s="14" t="s">
        <v>1075</v>
      </c>
      <c r="M148" s="14" t="s">
        <v>1076</v>
      </c>
      <c r="N148" s="12" t="s">
        <v>1077</v>
      </c>
      <c r="O148" s="15" t="s">
        <v>64</v>
      </c>
      <c r="P148" s="15" t="s">
        <v>81</v>
      </c>
      <c r="Q148" s="12" t="s">
        <v>1078</v>
      </c>
      <c r="R148" s="13"/>
    </row>
  </sheetData>
  <autoFilter ref="A1:P148"/>
  <mergeCells count="26">
    <mergeCell ref="A3:R3"/>
    <mergeCell ref="A9:R9"/>
    <mergeCell ref="A22:R22"/>
    <mergeCell ref="A28:R28"/>
    <mergeCell ref="A32:R32"/>
    <mergeCell ref="A39:R39"/>
    <mergeCell ref="A48:R48"/>
    <mergeCell ref="A57:R57"/>
    <mergeCell ref="A64:R64"/>
    <mergeCell ref="A70:R70"/>
    <mergeCell ref="A76:R76"/>
    <mergeCell ref="A84:R84"/>
    <mergeCell ref="A89:R89"/>
    <mergeCell ref="A93:R93"/>
    <mergeCell ref="A105:R105"/>
    <mergeCell ref="A108:R108"/>
    <mergeCell ref="A112:R112"/>
    <mergeCell ref="A117:R117"/>
    <mergeCell ref="A127:R127"/>
    <mergeCell ref="A132:R132"/>
    <mergeCell ref="A134:R134"/>
    <mergeCell ref="A137:R137"/>
    <mergeCell ref="A139:R139"/>
    <mergeCell ref="A143:R143"/>
    <mergeCell ref="A145:R145"/>
    <mergeCell ref="A147:R147"/>
  </mergeCells>
  <conditionalFormatting sqref="E3:E148">
    <cfRule type="cellIs" priority="2" operator="equal" aboveAverage="0" equalAverage="0" bottom="0" percent="0" rank="0" text="" dxfId="8">
      <formula>"Kritisch"</formula>
    </cfRule>
    <cfRule type="cellIs" priority="3" operator="equal" aboveAverage="0" equalAverage="0" bottom="0" percent="0" rank="0" text="" dxfId="9">
      <formula>"Verbesserung empfohlen"</formula>
    </cfRule>
    <cfRule type="cellIs" priority="4" operator="equal" aboveAverage="0" equalAverage="0" bottom="0" percent="0" rank="0" text="" dxfId="10">
      <formula>"OK"</formula>
    </cfRule>
    <cfRule type="cellIs" priority="5" operator="equal" aboveAverage="0" equalAverage="0" bottom="0" percent="0" rank="0" text="" dxfId="11">
      <formula>"bewusst abgewichen"</formula>
    </cfRule>
  </conditionalFormatting>
  <dataValidations count="1">
    <dataValidation allowBlank="true" error="Bitte einen Wert aus der Liste wählen." errorStyle="stop" errorTitle="Ungültige Bewertung" operator="between" showDropDown="false" showErrorMessage="false" showInputMessage="false" sqref="E3:E148" type="list">
      <formula1>"offen,OK,Verbesserung empfohlen,Kritisch,n.a. (nicht lizenziert),bewusst abgewichen"</formula1>
      <formula2>0</formula2>
    </dataValidation>
  </dataValidations>
  <hyperlinks>
    <hyperlink ref="O4" r:id="rId2" display="Portal öffnen"/>
    <hyperlink ref="P4" r:id="rId3" location="determine-your-threat-policy-strategy" display="Learn"/>
    <hyperlink ref="O5" r:id="rId4" display="Portal öffnen"/>
    <hyperlink ref="P5" r:id="rId5" location="use-the-microsoft-defender-portal-to-add-exclusions-to-the-built-in-protection-preset-security-policy" display="Learn"/>
    <hyperlink ref="O6" r:id="rId6" display="Portal öffnen"/>
    <hyperlink ref="P6" r:id="rId7" location="order-of-precedence-for-preset-security-policies-and-other-threat-policies" display="Learn"/>
    <hyperlink ref="O7" r:id="rId8" display="Portal öffnen"/>
    <hyperlink ref="P7" r:id="rId9" location="standard-recommendations-and-strict-recommendations-tabs-in-the-configuration-analyzer" display="Learn"/>
    <hyperlink ref="O8" r:id="rId10" display="Portal öffnen"/>
    <hyperlink ref="P8" r:id="rId11" location="use-the-microsoft-defender-portal-to-enable-or-disable-anti-spam-policies" display="Learn"/>
    <hyperlink ref="O10" r:id="rId12" display="Portal öffnen"/>
    <hyperlink ref="P10" r:id="rId13" location="bulk-complaint-threshold-bcl-in-anti-spam-policies" display="Learn"/>
    <hyperlink ref="O11" r:id="rId14" display="Portal öffnen"/>
    <hyperlink ref="P11" r:id="rId15" location="actions-in-anti-spam-policies" display="Learn"/>
    <hyperlink ref="O12" r:id="rId16" display="Portal öffnen"/>
    <hyperlink ref="P12" r:id="rId17" location="actions-in-anti-spam-policies" display="Learn"/>
    <hyperlink ref="O13" r:id="rId18" display="Portal öffnen"/>
    <hyperlink ref="P13" r:id="rId19" location="actions-in-anti-spam-policies" display="Learn"/>
    <hyperlink ref="O14" r:id="rId20" display="Portal öffnen"/>
    <hyperlink ref="P14" r:id="rId21" location="actions-in-anti-spam-policies" display="Learn"/>
    <hyperlink ref="O15" r:id="rId22" display="Portal öffnen"/>
    <hyperlink ref="P15" r:id="rId23" location="actions-in-anti-spam-policies" display="Learn"/>
    <hyperlink ref="O16" r:id="rId24" display="Portal öffnen"/>
    <hyperlink ref="P16" r:id="rId25" location="anti-spam-policy-settings" display="Learn"/>
    <hyperlink ref="O17" r:id="rId26" display="Portal öffnen"/>
    <hyperlink ref="P17" r:id="rId27" location="zero-hour-auto-purge-zap-for-spam" display="Learn"/>
    <hyperlink ref="O18" r:id="rId28" display="Portal öffnen"/>
    <hyperlink ref="P18" r:id="rId29" location="quarantine-retention" display="Learn"/>
    <hyperlink ref="O19" r:id="rId30" display="Portal öffnen"/>
    <hyperlink ref="P19" r:id="rId31" location="allow-and-block-lists-in-anti-spam-policies" display="Learn"/>
    <hyperlink ref="O20" r:id="rId32" display="Portal öffnen"/>
    <hyperlink ref="P20" r:id="rId33" location="spam-properties-in-anti-spam-policies" display="Learn"/>
    <hyperlink ref="O21" r:id="rId34" display="Portal öffnen"/>
    <hyperlink ref="P21" r:id="rId35" location="actions-in-anti-spam-policies" display="Learn"/>
    <hyperlink ref="O23" r:id="rId36" display="Portal öffnen"/>
    <hyperlink ref="P23" r:id="rId37" location="increase-spam-score-settings" display="Learn"/>
    <hyperlink ref="O24" r:id="rId38" display="Portal öffnen"/>
    <hyperlink ref="P24" r:id="rId39" location="mark-as-spam-settings" display="Learn"/>
    <hyperlink ref="O25" r:id="rId40" display="Portal öffnen"/>
    <hyperlink ref="P25" r:id="rId41" location="mark-as-spam-settings" display="Learn"/>
    <hyperlink ref="O26" r:id="rId42" display="Portal öffnen"/>
    <hyperlink ref="P26" r:id="rId43" location="mark-as-spam-settings" display="Learn"/>
    <hyperlink ref="O27" r:id="rId44" display="Portal öffnen"/>
    <hyperlink ref="P27" r:id="rId45" location="enable-disable-or-test-asf-settings" display="Learn"/>
    <hyperlink ref="O29" r:id="rId46" display="Portal öffnen"/>
    <hyperlink ref="P29" r:id="rId47" location="use-the-microsoft-defender-portal-to-modify-the-default-connection-filter-policy" display="Learn"/>
    <hyperlink ref="O30" r:id="rId48" display="Portal öffnen"/>
    <hyperlink ref="P30" r:id="rId49" location="use-the-microsoft-defender-portal-to-modify-the-default-connection-filter-policy" display="Learn"/>
    <hyperlink ref="O31" r:id="rId50" display="Portal öffnen"/>
    <hyperlink ref="P31" r:id="rId51" location="use-the-microsoft-defender-portal-to-modify-the-default-connection-filter-policy" display="Learn"/>
    <hyperlink ref="O33" r:id="rId52" display="Portal öffnen"/>
    <hyperlink ref="P33" r:id="rId53" location="use-the-microsoft-defender-portal-to-create-outbound-spam-policies" display="Learn"/>
    <hyperlink ref="O34" r:id="rId54" display="Portal öffnen"/>
    <hyperlink ref="P34" r:id="rId55" location="use-the-microsoft-defender-portal-to-create-outbound-spam-policies" display="Learn"/>
    <hyperlink ref="O35" r:id="rId56" display="Portal öffnen"/>
    <hyperlink ref="P35" r:id="rId57" location="outbound-spam-policy-settings" display="Learn"/>
    <hyperlink ref="O36" r:id="rId58" display="Portal öffnen"/>
    <hyperlink ref="P36" r:id="rId59" display="Learn"/>
    <hyperlink ref="O37" r:id="rId60" display="Portal öffnen"/>
    <hyperlink ref="P37" r:id="rId61" location="use-the-microsoft-defender-portal-to-create-outbound-spam-policies" display="Learn"/>
    <hyperlink ref="O38" r:id="rId62" location="/reports/mailflowreportsmain" display="Portal öffnen"/>
    <hyperlink ref="P38" r:id="rId63" location="tenant-external-recipient-rate-limit" display="Learn"/>
    <hyperlink ref="O40" r:id="rId64" display="Portal öffnen"/>
    <hyperlink ref="P40" r:id="rId65" location="spoof-settings" display="Learn"/>
    <hyperlink ref="O41" r:id="rId66" display="Portal öffnen"/>
    <hyperlink ref="P41" r:id="rId67" location="anti-phishing-policy-settings-for-all-cloud-mailboxes" display="Learn"/>
    <hyperlink ref="O42" r:id="rId68" display="Portal öffnen"/>
    <hyperlink ref="P42" r:id="rId69" location="spoof-protection-and-sender-dmarc-policies" display="Learn"/>
    <hyperlink ref="O43" r:id="rId70" display="Portal öffnen"/>
    <hyperlink ref="P43" r:id="rId71" location="spoof-protection-and-sender-dmarc-policies" display="Learn"/>
    <hyperlink ref="O44" r:id="rId72" display="Portal öffnen"/>
    <hyperlink ref="P44" r:id="rId73" location="spoof-protection-and-sender-dmarc-policies" display="Learn"/>
    <hyperlink ref="O45" r:id="rId74" display="Portal öffnen"/>
    <hyperlink ref="P45" r:id="rId75" location="unauthenticated-sender-indicators" display="Learn"/>
    <hyperlink ref="O46" r:id="rId76" display="Portal öffnen"/>
    <hyperlink ref="P46" r:id="rId77" location="first-contact-safety-tip" display="Learn"/>
    <hyperlink ref="O47" r:id="rId78" display="Portal öffnen"/>
    <hyperlink ref="P47" r:id="rId79" location="phishing-email-thresholds-in-anti-phishing-policies-in-microsoft-defender-for-office-365" display="Learn"/>
    <hyperlink ref="O49" r:id="rId80" display="Portal öffnen"/>
    <hyperlink ref="P49" r:id="rId81" location="domain-impersonation-protection" display="Learn"/>
    <hyperlink ref="O50" r:id="rId82" display="Portal öffnen"/>
    <hyperlink ref="P50" r:id="rId83" location="domain-impersonation-protection" display="Learn"/>
    <hyperlink ref="O51" r:id="rId84" display="Portal öffnen"/>
    <hyperlink ref="P51" r:id="rId85" location="user-impersonation-protection" display="Learn"/>
    <hyperlink ref="O52" r:id="rId86" display="Portal öffnen"/>
    <hyperlink ref="P52" r:id="rId87" location="impersonation-settings-in-anti-phishing-policies-in-microsoft-defender-for-office-365" display="Learn"/>
    <hyperlink ref="O53" r:id="rId88" display="Portal öffnen"/>
    <hyperlink ref="P53" r:id="rId89" location="mailbox-intelligence-impersonation-protection" display="Learn"/>
    <hyperlink ref="O54" r:id="rId90" display="Portal öffnen"/>
    <hyperlink ref="P54" r:id="rId91" location="impersonation-safety-tips" display="Learn"/>
    <hyperlink ref="O55" r:id="rId92" display="Portal öffnen"/>
    <hyperlink ref="P55" r:id="rId93" location="trusted-senders-and-domains" display="Learn"/>
    <hyperlink ref="O56" r:id="rId94" display="Portal öffnen"/>
    <hyperlink ref="P56" r:id="rId95" location="review-or-turn-on-priority-account-protection-in-the-microsoft-defender-portal" display="Learn"/>
    <hyperlink ref="O58" r:id="rId96" display="Portal öffnen"/>
    <hyperlink ref="P58" r:id="rId97" location="allow-entries-in-the-tenant-allowblock-list" display="Learn"/>
    <hyperlink ref="O59" r:id="rId98" display="Portal öffnen"/>
    <hyperlink ref="P59" r:id="rId99" location="domains-and-email-addresses-in-the-tenant-allowblock-list" display="Learn"/>
    <hyperlink ref="O60" r:id="rId100" display="Portal öffnen"/>
    <hyperlink ref="P60" r:id="rId101" location="spoofed-senders-in-the-tenant-allowblock-list" display="Learn"/>
    <hyperlink ref="O61" r:id="rId102" display="Portal öffnen"/>
    <hyperlink ref="P61" r:id="rId103" location="url-syntax-for-the-tenant-allowblock-list" display="Learn"/>
    <hyperlink ref="O62" r:id="rId104" display="Portal öffnen"/>
    <hyperlink ref="P62" r:id="rId105" location="create-block-entries-for-files" display="Learn"/>
    <hyperlink ref="O63" r:id="rId106" display="Portal öffnen"/>
    <hyperlink ref="P63" r:id="rId107" location="create-block-entries-for-ipv6-addresses" display="Learn"/>
    <hyperlink ref="O65" r:id="rId108" display="Portal öffnen"/>
    <hyperlink ref="P65" r:id="rId109" location="common-attachments-filter-in-anti-malware-policies" display="Learn"/>
    <hyperlink ref="O66" r:id="rId110" display="Portal öffnen"/>
    <hyperlink ref="P66" r:id="rId111" location="zero-hour-auto-purge-zap-in-anti-malware-policies" display="Learn"/>
    <hyperlink ref="O67" r:id="rId112" display="Portal öffnen"/>
    <hyperlink ref="P67" r:id="rId113" location="common-attachments-filter-in-anti-malware-policies" display="Learn"/>
    <hyperlink ref="O68" r:id="rId114" display="Portal öffnen"/>
    <hyperlink ref="P68" r:id="rId115" location="quarantine-policies-in-anti-malware-policies" display="Learn"/>
    <hyperlink ref="O69" r:id="rId116" display="Portal öffnen"/>
    <hyperlink ref="P69" r:id="rId117" location="admin-notifications-in-anti-malware-policies" display="Learn"/>
    <hyperlink ref="O71" r:id="rId118" display="Portal öffnen"/>
    <hyperlink ref="P71" r:id="rId119" location="safe-attachments-policy-settings" display="Learn"/>
    <hyperlink ref="O72" r:id="rId120" display="Portal öffnen"/>
    <hyperlink ref="P72" r:id="rId121" location="safe-attachments-policy-settings" display="Learn"/>
    <hyperlink ref="O73" r:id="rId122" display="Portal öffnen"/>
    <hyperlink ref="P73" r:id="rId123" location="step-1-use-the-microsoft-defender-portal-to-turn-on-safe-attachments-for-sharepoint-onedrive-and-microsoft-teams" display="Learn"/>
    <hyperlink ref="O74" r:id="rId124" display="Portal öffnen"/>
    <hyperlink ref="P74" r:id="rId125" location="use-the-microsoft-defender-portal-to-configure-safe-documents" display="Learn"/>
    <hyperlink ref="O75" r:id="rId126" display="Portal öffnen"/>
    <hyperlink ref="P75" r:id="rId127" location="dynamic-delivery-in-safe-attachments-policies" display="Learn"/>
    <hyperlink ref="O77" r:id="rId128" display="Portal öffnen"/>
    <hyperlink ref="P77" r:id="rId129" location="safe-links-settings-for-email-messages" display="Learn"/>
    <hyperlink ref="O78" r:id="rId130" display="Portal öffnen"/>
    <hyperlink ref="P78" r:id="rId131" location="safe-links-settings-for-email-messages" display="Learn"/>
    <hyperlink ref="O79" r:id="rId132" display="Portal öffnen"/>
    <hyperlink ref="P79" r:id="rId133" location="safe-links-settings-for-email-messages" display="Learn"/>
    <hyperlink ref="O80" r:id="rId134" display="Portal öffnen"/>
    <hyperlink ref="P80" r:id="rId135" location="click-protection-settings-in-safe-links-policies" display="Learn"/>
    <hyperlink ref="O81" r:id="rId136" display="Portal öffnen"/>
    <hyperlink ref="P81" r:id="rId137" location="safe-links-settings-for-email-messages" display="Learn"/>
    <hyperlink ref="O82" r:id="rId138" display="Portal öffnen"/>
    <hyperlink ref="P82" r:id="rId139" location="entry-syntax-for-the-do-not-rewrite-the-following-urls-list" display="Learn"/>
    <hyperlink ref="O83" r:id="rId140" display="Portal öffnen"/>
    <hyperlink ref="P83" r:id="rId141" location="click-protection-settings-in-safe-links-policies" display="Learn"/>
    <hyperlink ref="O85" r:id="rId142" display="Portal öffnen"/>
    <hyperlink ref="P85" r:id="rId143" location="assign-quarantine-policies-in-supported-policies-in-the-microsoft-defender-portal" display="Learn"/>
    <hyperlink ref="O86" r:id="rId144" display="Portal öffnen"/>
    <hyperlink ref="P86" r:id="rId145" location="step-1-create-quarantine-policies-in-the-microsoft-defender-portal" display="Learn"/>
    <hyperlink ref="O87" r:id="rId146" display="Portal öffnen"/>
    <hyperlink ref="P87" r:id="rId147" location="customize-all-quarantine-notifications" display="Learn"/>
    <hyperlink ref="O88" r:id="rId148" display="Portal öffnen"/>
    <hyperlink ref="P88" r:id="rId149" location="customize-all-quarantine-notifications" display="Learn"/>
    <hyperlink ref="O90" r:id="rId150" display="Portal öffnen"/>
    <hyperlink ref="P90" r:id="rId151" location="use-the-microsoft-defender-portal-to-configure-secops-mailboxes-in-the-advanced-delivery-policy" display="Learn"/>
    <hyperlink ref="O91" r:id="rId152" display="Portal öffnen"/>
    <hyperlink ref="P91" r:id="rId153" location="use-the-microsoft-defender-portal-to-configure-non-microsoft-phishing-simulations-in-the-advanced-delivery-policy" display="Learn"/>
    <hyperlink ref="O92" r:id="rId154" location="/transportrules" display="Portal öffnen"/>
    <hyperlink ref="P92" r:id="rId155" location="use-mail-flow-rules" display="Learn"/>
    <hyperlink ref="P94" r:id="rId156" location="spf-txt-records-for-custom-domains-in-microsoft-365" display="Learn"/>
    <hyperlink ref="P95" r:id="rId157" location="syntax-for-spf-txt-records" display="Learn"/>
    <hyperlink ref="P96" r:id="rId158" location="scenario-parked-domains" display="Learn"/>
    <hyperlink ref="O97" r:id="rId159" display="Portal öffnen"/>
    <hyperlink ref="P97" r:id="rId160" location="use-the-defender-portal-to-enable-dkim-signing-of-outbound-messages-using-a-custom-domain" display="Learn"/>
    <hyperlink ref="O98" r:id="rId161" display="Portal öffnen"/>
    <hyperlink ref="P98" r:id="rId162" location="use-exchange-online-powershell-to-rotate-the-dkim-keys-for-a-domain-and-change-the-bit-depth" display="Learn"/>
    <hyperlink ref="O99" r:id="rId163" location="/Domains" display="Portal öffnen"/>
    <hyperlink ref="P99" r:id="rId164" location="set-up-dmarc-for-active-custom-domains-in-microsoft-365" display="Learn"/>
    <hyperlink ref="P100" r:id="rId165" location="best-practices-for-dmarc-reports" display="Learn"/>
    <hyperlink ref="O101" r:id="rId166" display="Portal öffnen"/>
    <hyperlink ref="P101" r:id="rId167" location="use-the-microsoft-defender-portal-to-add-trusted-arc-sealers" display="Learn"/>
    <hyperlink ref="P102" r:id="rId168" location="adopt-mta-sts-for-your-domain" display="Learn"/>
    <hyperlink ref="P103" r:id="rId169" location="inbound-smtp-dane-with-dnssec" display="Learn"/>
    <hyperlink ref="P104" r:id="rId170" display="Learn"/>
    <hyperlink ref="O106" r:id="rId171" display="Portal öffnen"/>
    <hyperlink ref="P106" r:id="rId172" location="use-the-microsoft-defender-portal-to-configure-enhanced-filtering-for-connectors-on-an-inbound-connector" display="Learn"/>
    <hyperlink ref="O107" r:id="rId173" location="/transportrules" display="Portal öffnen"/>
    <hyperlink ref="P107" r:id="rId174" location="what-do-you-need-to-know-before-you-begin" display="Learn"/>
    <hyperlink ref="P109" r:id="rId175" display="Learn"/>
    <hyperlink ref="O110" r:id="rId176" display="Portal öffnen"/>
    <hyperlink ref="P110" r:id="rId177" location="first-contact-safety-tip" display="Learn"/>
    <hyperlink ref="O111" r:id="rId178" location="/transportrules" display="Portal öffnen"/>
    <hyperlink ref="P111" r:id="rId179" location="use-the-eac-to-add-a-disclaimer-or-other-email-header-or-footer" display="Learn"/>
    <hyperlink ref="O113" r:id="rId180" display="Portal öffnen"/>
    <hyperlink ref="P113" r:id="rId181" display="Learn"/>
    <hyperlink ref="O114" r:id="rId182" display="Portal öffnen"/>
    <hyperlink ref="P114" r:id="rId183" location="alert-policy-settings" display="Learn"/>
    <hyperlink ref="O115" r:id="rId184" display="Portal öffnen"/>
    <hyperlink ref="P115" r:id="rId185" location="use-the-microsoft-defender-portal-to-configure-user-reported-settings" display="Learn"/>
    <hyperlink ref="O116" r:id="rId186" location="/messagetrace" display="Portal öffnen"/>
    <hyperlink ref="P116" r:id="rId187" display="Learn"/>
    <hyperlink ref="P118" r:id="rId188" location="supported-versions-and-builds" display="Learn"/>
    <hyperlink ref="O119" r:id="rId189" display="Portal öffnen"/>
    <hyperlink ref="P119" r:id="rId190" location="configure-the-dedicated-exchange-hybrid-application" display="Learn"/>
    <hyperlink ref="P120" r:id="rId191" location="step-1-create-a-dedicated-receive-connector-for-anonymous-relay" display="Learn"/>
    <hyperlink ref="P121" r:id="rId192" location="network-ports-required-for-mail-flow" display="Learn"/>
    <hyperlink ref="O122" r:id="rId193" location="/settings" display="Portal öffnen"/>
    <hyperlink ref="P122" r:id="rId194" location="disable-smtp-auth-in-your-organization" display="Learn"/>
    <hyperlink ref="O123" r:id="rId195" location="/mailboxes" display="Portal öffnen"/>
    <hyperlink ref="P123" r:id="rId196" location="use-exchange-online-powershell-to-enable-or-disable-email-apps" display="Learn"/>
    <hyperlink ref="O124" r:id="rId197" location="/mailboxes" display="Portal öffnen"/>
    <hyperlink ref="P124" r:id="rId198" location="message-limits" display="Learn"/>
    <hyperlink ref="O125" r:id="rId199" location="/connectors" display="Portal öffnen"/>
    <hyperlink ref="P125" r:id="rId200" location="for-new-eac" display="Learn"/>
    <hyperlink ref="O126" r:id="rId201" location="/connectors" display="Portal öffnen"/>
    <hyperlink ref="P126" r:id="rId202" location="when-do-i-need-a-connector" display="Learn"/>
    <hyperlink ref="O128" r:id="rId203" display="Portal öffnen"/>
    <hyperlink ref="P128" r:id="rId204" location="role-groups-in-microsoft-defender-for-office-365-and-microsoft-purview" display="Learn"/>
    <hyperlink ref="P129" r:id="rId205" display="Learn"/>
    <hyperlink ref="O130" r:id="rId206" display="Portal öffnen"/>
    <hyperlink ref="P130" r:id="rId207" location="configuration-drift-analysis-and-history-tab-in-the-configuration-analyzer" display="Learn"/>
    <hyperlink ref="O131" r:id="rId208" display="Portal öffnen"/>
    <hyperlink ref="P131" r:id="rId209" display="Learn"/>
    <hyperlink ref="O133" r:id="rId210" display="Portal öffnen"/>
    <hyperlink ref="P133" r:id="rId211" location="configure-zap-for-teams-protection-in-defender-for-office-365" display="Learn"/>
    <hyperlink ref="O135" r:id="rId212" location="/remotedomains" display="Portal öffnen"/>
    <hyperlink ref="P135" r:id="rId213" location="reducing-or-increasing-information-flow-to-another-company" display="Learn"/>
    <hyperlink ref="O136" r:id="rId214" location="/accepteddomains" display="Portal öffnen"/>
    <hyperlink ref="P136" r:id="rId215" location="sending-limits" display="Learn"/>
    <hyperlink ref="O138" r:id="rId216" location="/accepteddomains" display="Portal öffnen"/>
    <hyperlink ref="P138" r:id="rId217" location="configure-dbeb" display="Learn"/>
    <hyperlink ref="O140" r:id="rId218" display="Portal öffnen"/>
    <hyperlink ref="P140" r:id="rId219" location="common-attachments-filter-in-anti-malware-policies" display="Learn"/>
    <hyperlink ref="P141" r:id="rId220" location="x-forefront-antispam-report-message-header-fields" display="Learn"/>
    <hyperlink ref="O142" r:id="rId221" display="Portal öffnen"/>
    <hyperlink ref="P142" r:id="rId222" display="Learn"/>
    <hyperlink ref="P144" r:id="rId223" location="data-protection-impact-assessment" display="Learn"/>
    <hyperlink ref="P146" r:id="rId224" display="Learn"/>
    <hyperlink ref="O148" r:id="rId225" display="Portal öffnen"/>
    <hyperlink ref="P148" r:id="rId226" location="the-overall-flow-of-air" display="Lear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7"/>
  <legacyDrawing r:id="rId22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6" min="3" style="0" width="14"/>
    <col collapsed="false" customWidth="true" hidden="false" outlineLevel="0" max="7" min="7" style="0" width="20"/>
    <col collapsed="false" customWidth="true" hidden="false" outlineLevel="0" max="8" min="8" style="0" width="14"/>
    <col collapsed="false" customWidth="true" hidden="false" outlineLevel="0" max="9" min="9" style="0" width="12"/>
  </cols>
  <sheetData>
    <row r="2" customFormat="false" ht="19.7" hidden="false" customHeight="false" outlineLevel="0" collapsed="false">
      <c r="B2" s="16" t="s">
        <v>1079</v>
      </c>
    </row>
    <row r="3" customFormat="false" ht="15" hidden="false" customHeight="false" outlineLevel="0" collapsed="false">
      <c r="B3" s="17" t="s">
        <v>1080</v>
      </c>
    </row>
    <row r="5" customFormat="false" ht="15" hidden="false" customHeight="false" outlineLevel="0" collapsed="false">
      <c r="B5" s="18" t="s">
        <v>1081</v>
      </c>
    </row>
    <row r="6" customFormat="false" ht="15" hidden="false" customHeight="false" outlineLevel="0" collapsed="false">
      <c r="B6" s="19" t="s">
        <v>54</v>
      </c>
      <c r="C6" s="19" t="s">
        <v>1082</v>
      </c>
      <c r="D6" s="19" t="s">
        <v>1083</v>
      </c>
    </row>
    <row r="7" customFormat="false" ht="15" hidden="false" customHeight="false" outlineLevel="0" collapsed="false">
      <c r="B7" s="20" t="s">
        <v>46</v>
      </c>
      <c r="C7" s="21" t="n">
        <f aca="false">COUNTIFS(Checkliste!$A$3:$A$148,"&lt;&gt;",Checkliste!$E$3:$E$148,B7)</f>
        <v>120</v>
      </c>
      <c r="D7" s="22" t="n">
        <f aca="false">IFERROR(C7/$C$13,0)</f>
        <v>1</v>
      </c>
    </row>
    <row r="8" customFormat="false" ht="15" hidden="false" customHeight="false" outlineLevel="0" collapsed="false">
      <c r="B8" s="20" t="s">
        <v>36</v>
      </c>
      <c r="C8" s="21" t="n">
        <f aca="false">COUNTIFS(Checkliste!$A$3:$A$148,"&lt;&gt;",Checkliste!$E$3:$E$148,B8)</f>
        <v>0</v>
      </c>
      <c r="D8" s="22" t="n">
        <f aca="false">IFERROR(C8/$C$13,0)</f>
        <v>0</v>
      </c>
    </row>
    <row r="9" customFormat="false" ht="15" hidden="false" customHeight="false" outlineLevel="0" collapsed="false">
      <c r="B9" s="20" t="s">
        <v>38</v>
      </c>
      <c r="C9" s="21" t="n">
        <f aca="false">COUNTIFS(Checkliste!$A$3:$A$148,"&lt;&gt;",Checkliste!$E$3:$E$148,B9)</f>
        <v>0</v>
      </c>
      <c r="D9" s="22" t="n">
        <f aca="false">IFERROR(C9/$C$13,0)</f>
        <v>0</v>
      </c>
    </row>
    <row r="10" customFormat="false" ht="15" hidden="false" customHeight="false" outlineLevel="0" collapsed="false">
      <c r="B10" s="20" t="s">
        <v>40</v>
      </c>
      <c r="C10" s="21" t="n">
        <f aca="false">COUNTIFS(Checkliste!$A$3:$A$148,"&lt;&gt;",Checkliste!$E$3:$E$148,B10)</f>
        <v>0</v>
      </c>
      <c r="D10" s="22" t="n">
        <f aca="false">IFERROR(C10/$C$13,0)</f>
        <v>0</v>
      </c>
    </row>
    <row r="11" customFormat="false" ht="15" hidden="false" customHeight="false" outlineLevel="0" collapsed="false">
      <c r="B11" s="20" t="s">
        <v>42</v>
      </c>
      <c r="C11" s="21" t="n">
        <f aca="false">COUNTIFS(Checkliste!$A$3:$A$148,"&lt;&gt;",Checkliste!$E$3:$E$148,B11)</f>
        <v>0</v>
      </c>
      <c r="D11" s="22" t="n">
        <f aca="false">IFERROR(C11/$C$13,0)</f>
        <v>0</v>
      </c>
    </row>
    <row r="12" customFormat="false" ht="15" hidden="false" customHeight="false" outlineLevel="0" collapsed="false">
      <c r="B12" s="20" t="s">
        <v>44</v>
      </c>
      <c r="C12" s="21" t="n">
        <f aca="false">COUNTIFS(Checkliste!$A$3:$A$148,"&lt;&gt;",Checkliste!$E$3:$E$148,B12)</f>
        <v>0</v>
      </c>
      <c r="D12" s="22" t="n">
        <f aca="false">IFERROR(C12/$C$13,0)</f>
        <v>0</v>
      </c>
    </row>
    <row r="13" customFormat="false" ht="15" hidden="false" customHeight="false" outlineLevel="0" collapsed="false">
      <c r="B13" s="23" t="s">
        <v>1084</v>
      </c>
      <c r="C13" s="24" t="n">
        <f aca="false">COUNTA(Checkliste!$A$3:$A$148)-COUNTBLANK(Checkliste!$E$3:$E$148)</f>
        <v>120</v>
      </c>
    </row>
    <row r="15" customFormat="false" ht="15" hidden="false" customHeight="false" outlineLevel="0" collapsed="false">
      <c r="B15" s="18" t="s">
        <v>1085</v>
      </c>
    </row>
    <row r="16" customFormat="false" ht="30" hidden="false" customHeight="true" outlineLevel="0" collapsed="false">
      <c r="B16" s="25" t="s">
        <v>51</v>
      </c>
      <c r="C16" s="25" t="s">
        <v>1086</v>
      </c>
      <c r="D16" s="25" t="s">
        <v>36</v>
      </c>
      <c r="E16" s="25" t="s">
        <v>1087</v>
      </c>
      <c r="F16" s="25" t="s">
        <v>40</v>
      </c>
      <c r="G16" s="25" t="s">
        <v>1088</v>
      </c>
      <c r="H16" s="25" t="s">
        <v>101</v>
      </c>
      <c r="I16" s="25" t="s">
        <v>46</v>
      </c>
    </row>
    <row r="17" customFormat="false" ht="15" hidden="false" customHeight="false" outlineLevel="0" collapsed="false">
      <c r="B17" s="26" t="s">
        <v>84</v>
      </c>
      <c r="C17" s="27" t="n">
        <f aca="false">COUNTIFS(Checkliste!$B$3:$B$148,$B17,Checkliste!$A$3:$A$148,"&lt;&gt;")</f>
        <v>5</v>
      </c>
      <c r="D17" s="27" t="n">
        <f aca="false">COUNTIFS(Checkliste!$B$3:$B$148,$B17,Checkliste!$E$3:$E$148,"OK")</f>
        <v>0</v>
      </c>
      <c r="E17" s="27" t="n">
        <f aca="false">COUNTIFS(Checkliste!$B$3:$B$148,$B17,Checkliste!$E$3:$E$148,"Verbesserung empfohlen")</f>
        <v>0</v>
      </c>
      <c r="F17" s="27" t="n">
        <f aca="false">COUNTIFS(Checkliste!$B$3:$B$148,$B17,Checkliste!$E$3:$E$148,"Kritisch")</f>
        <v>0</v>
      </c>
      <c r="G17" s="27" t="n">
        <f aca="false">COUNTIFS(Checkliste!$B$3:$B$148,$B17,Checkliste!$E$3:$E$148,"bewusst abgewichen")</f>
        <v>0</v>
      </c>
      <c r="H17" s="27" t="n">
        <f aca="false">COUNTIFS(Checkliste!$B$3:$B$148,$B17,Checkliste!$E$3:$E$148,"n.a. (nicht lizenziert)")</f>
        <v>0</v>
      </c>
      <c r="I17" s="27" t="n">
        <f aca="false">COUNTIFS(Checkliste!$B$3:$B$148,$B17,Checkliste!$E$3:$E$148,"offen")</f>
        <v>5</v>
      </c>
    </row>
    <row r="18" customFormat="false" ht="15" hidden="false" customHeight="false" outlineLevel="0" collapsed="false">
      <c r="B18" s="26" t="s">
        <v>130</v>
      </c>
      <c r="C18" s="27" t="n">
        <f aca="false">COUNTIFS(Checkliste!$B$3:$B$148,$B18,Checkliste!$A$3:$A$148,"&lt;&gt;")</f>
        <v>12</v>
      </c>
      <c r="D18" s="27" t="n">
        <f aca="false">COUNTIFS(Checkliste!$B$3:$B$148,$B18,Checkliste!$E$3:$E$148,"OK")</f>
        <v>0</v>
      </c>
      <c r="E18" s="27" t="n">
        <f aca="false">COUNTIFS(Checkliste!$B$3:$B$148,$B18,Checkliste!$E$3:$E$148,"Verbesserung empfohlen")</f>
        <v>0</v>
      </c>
      <c r="F18" s="27" t="n">
        <f aca="false">COUNTIFS(Checkliste!$B$3:$B$148,$B18,Checkliste!$E$3:$E$148,"Kritisch")</f>
        <v>0</v>
      </c>
      <c r="G18" s="27" t="n">
        <f aca="false">COUNTIFS(Checkliste!$B$3:$B$148,$B18,Checkliste!$E$3:$E$148,"bewusst abgewichen")</f>
        <v>0</v>
      </c>
      <c r="H18" s="27" t="n">
        <f aca="false">COUNTIFS(Checkliste!$B$3:$B$148,$B18,Checkliste!$E$3:$E$148,"n.a. (nicht lizenziert)")</f>
        <v>0</v>
      </c>
      <c r="I18" s="27" t="n">
        <f aca="false">COUNTIFS(Checkliste!$B$3:$B$148,$B18,Checkliste!$E$3:$E$148,"offen")</f>
        <v>12</v>
      </c>
    </row>
    <row r="19" customFormat="false" ht="15" hidden="false" customHeight="false" outlineLevel="0" collapsed="false">
      <c r="B19" s="26" t="s">
        <v>228</v>
      </c>
      <c r="C19" s="27" t="n">
        <f aca="false">COUNTIFS(Checkliste!$B$3:$B$148,$B19,Checkliste!$A$3:$A$148,"&lt;&gt;")</f>
        <v>5</v>
      </c>
      <c r="D19" s="27" t="n">
        <f aca="false">COUNTIFS(Checkliste!$B$3:$B$148,$B19,Checkliste!$E$3:$E$148,"OK")</f>
        <v>0</v>
      </c>
      <c r="E19" s="27" t="n">
        <f aca="false">COUNTIFS(Checkliste!$B$3:$B$148,$B19,Checkliste!$E$3:$E$148,"Verbesserung empfohlen")</f>
        <v>0</v>
      </c>
      <c r="F19" s="27" t="n">
        <f aca="false">COUNTIFS(Checkliste!$B$3:$B$148,$B19,Checkliste!$E$3:$E$148,"Kritisch")</f>
        <v>0</v>
      </c>
      <c r="G19" s="27" t="n">
        <f aca="false">COUNTIFS(Checkliste!$B$3:$B$148,$B19,Checkliste!$E$3:$E$148,"bewusst abgewichen")</f>
        <v>0</v>
      </c>
      <c r="H19" s="27" t="n">
        <f aca="false">COUNTIFS(Checkliste!$B$3:$B$148,$B19,Checkliste!$E$3:$E$148,"n.a. (nicht lizenziert)")</f>
        <v>0</v>
      </c>
      <c r="I19" s="27" t="n">
        <f aca="false">COUNTIFS(Checkliste!$B$3:$B$148,$B19,Checkliste!$E$3:$E$148,"offen")</f>
        <v>5</v>
      </c>
    </row>
    <row r="20" customFormat="false" ht="15" hidden="false" customHeight="false" outlineLevel="0" collapsed="false">
      <c r="B20" s="26" t="s">
        <v>270</v>
      </c>
      <c r="C20" s="27" t="n">
        <f aca="false">COUNTIFS(Checkliste!$B$3:$B$148,$B20,Checkliste!$A$3:$A$148,"&lt;&gt;")</f>
        <v>3</v>
      </c>
      <c r="D20" s="27" t="n">
        <f aca="false">COUNTIFS(Checkliste!$B$3:$B$148,$B20,Checkliste!$E$3:$E$148,"OK")</f>
        <v>0</v>
      </c>
      <c r="E20" s="27" t="n">
        <f aca="false">COUNTIFS(Checkliste!$B$3:$B$148,$B20,Checkliste!$E$3:$E$148,"Verbesserung empfohlen")</f>
        <v>0</v>
      </c>
      <c r="F20" s="27" t="n">
        <f aca="false">COUNTIFS(Checkliste!$B$3:$B$148,$B20,Checkliste!$E$3:$E$148,"Kritisch")</f>
        <v>0</v>
      </c>
      <c r="G20" s="27" t="n">
        <f aca="false">COUNTIFS(Checkliste!$B$3:$B$148,$B20,Checkliste!$E$3:$E$148,"bewusst abgewichen")</f>
        <v>0</v>
      </c>
      <c r="H20" s="27" t="n">
        <f aca="false">COUNTIFS(Checkliste!$B$3:$B$148,$B20,Checkliste!$E$3:$E$148,"n.a. (nicht lizenziert)")</f>
        <v>0</v>
      </c>
      <c r="I20" s="27" t="n">
        <f aca="false">COUNTIFS(Checkliste!$B$3:$B$148,$B20,Checkliste!$E$3:$E$148,"offen")</f>
        <v>3</v>
      </c>
    </row>
    <row r="21" customFormat="false" ht="15" hidden="false" customHeight="false" outlineLevel="0" collapsed="false">
      <c r="B21" s="26" t="s">
        <v>295</v>
      </c>
      <c r="C21" s="27" t="n">
        <f aca="false">COUNTIFS(Checkliste!$B$3:$B$148,$B21,Checkliste!$A$3:$A$148,"&lt;&gt;")</f>
        <v>8</v>
      </c>
      <c r="D21" s="27" t="n">
        <f aca="false">COUNTIFS(Checkliste!$B$3:$B$148,$B21,Checkliste!$E$3:$E$148,"OK")</f>
        <v>0</v>
      </c>
      <c r="E21" s="27" t="n">
        <f aca="false">COUNTIFS(Checkliste!$B$3:$B$148,$B21,Checkliste!$E$3:$E$148,"Verbesserung empfohlen")</f>
        <v>0</v>
      </c>
      <c r="F21" s="27" t="n">
        <f aca="false">COUNTIFS(Checkliste!$B$3:$B$148,$B21,Checkliste!$E$3:$E$148,"Kritisch")</f>
        <v>0</v>
      </c>
      <c r="G21" s="27" t="n">
        <f aca="false">COUNTIFS(Checkliste!$B$3:$B$148,$B21,Checkliste!$E$3:$E$148,"bewusst abgewichen")</f>
        <v>0</v>
      </c>
      <c r="H21" s="27" t="n">
        <f aca="false">COUNTIFS(Checkliste!$B$3:$B$148,$B21,Checkliste!$E$3:$E$148,"n.a. (nicht lizenziert)")</f>
        <v>0</v>
      </c>
      <c r="I21" s="27" t="n">
        <f aca="false">COUNTIFS(Checkliste!$B$3:$B$148,$B21,Checkliste!$E$3:$E$148,"offen")</f>
        <v>8</v>
      </c>
    </row>
    <row r="22" customFormat="false" ht="15" hidden="false" customHeight="false" outlineLevel="0" collapsed="false">
      <c r="B22" s="26" t="s">
        <v>351</v>
      </c>
      <c r="C22" s="27" t="n">
        <f aca="false">COUNTIFS(Checkliste!$B$3:$B$148,$B22,Checkliste!$A$3:$A$148,"&lt;&gt;")</f>
        <v>8</v>
      </c>
      <c r="D22" s="27" t="n">
        <f aca="false">COUNTIFS(Checkliste!$B$3:$B$148,$B22,Checkliste!$E$3:$E$148,"OK")</f>
        <v>0</v>
      </c>
      <c r="E22" s="27" t="n">
        <f aca="false">COUNTIFS(Checkliste!$B$3:$B$148,$B22,Checkliste!$E$3:$E$148,"Verbesserung empfohlen")</f>
        <v>0</v>
      </c>
      <c r="F22" s="27" t="n">
        <f aca="false">COUNTIFS(Checkliste!$B$3:$B$148,$B22,Checkliste!$E$3:$E$148,"Kritisch")</f>
        <v>0</v>
      </c>
      <c r="G22" s="27" t="n">
        <f aca="false">COUNTIFS(Checkliste!$B$3:$B$148,$B22,Checkliste!$E$3:$E$148,"bewusst abgewichen")</f>
        <v>0</v>
      </c>
      <c r="H22" s="27" t="n">
        <f aca="false">COUNTIFS(Checkliste!$B$3:$B$148,$B22,Checkliste!$E$3:$E$148,"n.a. (nicht lizenziert)")</f>
        <v>0</v>
      </c>
      <c r="I22" s="27" t="n">
        <f aca="false">COUNTIFS(Checkliste!$B$3:$B$148,$B22,Checkliste!$E$3:$E$148,"offen")</f>
        <v>8</v>
      </c>
    </row>
    <row r="23" customFormat="false" ht="15" hidden="false" customHeight="false" outlineLevel="0" collapsed="false">
      <c r="B23" s="26" t="s">
        <v>413</v>
      </c>
      <c r="C23" s="27" t="n">
        <f aca="false">COUNTIFS(Checkliste!$B$3:$B$148,$B23,Checkliste!$A$3:$A$148,"&lt;&gt;")</f>
        <v>8</v>
      </c>
      <c r="D23" s="27" t="n">
        <f aca="false">COUNTIFS(Checkliste!$B$3:$B$148,$B23,Checkliste!$E$3:$E$148,"OK")</f>
        <v>0</v>
      </c>
      <c r="E23" s="27" t="n">
        <f aca="false">COUNTIFS(Checkliste!$B$3:$B$148,$B23,Checkliste!$E$3:$E$148,"Verbesserung empfohlen")</f>
        <v>0</v>
      </c>
      <c r="F23" s="27" t="n">
        <f aca="false">COUNTIFS(Checkliste!$B$3:$B$148,$B23,Checkliste!$E$3:$E$148,"Kritisch")</f>
        <v>0</v>
      </c>
      <c r="G23" s="27" t="n">
        <f aca="false">COUNTIFS(Checkliste!$B$3:$B$148,$B23,Checkliste!$E$3:$E$148,"bewusst abgewichen")</f>
        <v>0</v>
      </c>
      <c r="H23" s="27" t="n">
        <f aca="false">COUNTIFS(Checkliste!$B$3:$B$148,$B23,Checkliste!$E$3:$E$148,"n.a. (nicht lizenziert)")</f>
        <v>0</v>
      </c>
      <c r="I23" s="27" t="n">
        <f aca="false">COUNTIFS(Checkliste!$B$3:$B$148,$B23,Checkliste!$E$3:$E$148,"offen")</f>
        <v>8</v>
      </c>
    </row>
    <row r="24" customFormat="false" ht="15" hidden="false" customHeight="false" outlineLevel="0" collapsed="false">
      <c r="B24" s="26" t="s">
        <v>487</v>
      </c>
      <c r="C24" s="27" t="n">
        <f aca="false">COUNTIFS(Checkliste!$B$3:$B$148,$B24,Checkliste!$A$3:$A$148,"&lt;&gt;")</f>
        <v>6</v>
      </c>
      <c r="D24" s="27" t="n">
        <f aca="false">COUNTIFS(Checkliste!$B$3:$B$148,$B24,Checkliste!$E$3:$E$148,"OK")</f>
        <v>0</v>
      </c>
      <c r="E24" s="27" t="n">
        <f aca="false">COUNTIFS(Checkliste!$B$3:$B$148,$B24,Checkliste!$E$3:$E$148,"Verbesserung empfohlen")</f>
        <v>0</v>
      </c>
      <c r="F24" s="27" t="n">
        <f aca="false">COUNTIFS(Checkliste!$B$3:$B$148,$B24,Checkliste!$E$3:$E$148,"Kritisch")</f>
        <v>0</v>
      </c>
      <c r="G24" s="27" t="n">
        <f aca="false">COUNTIFS(Checkliste!$B$3:$B$148,$B24,Checkliste!$E$3:$E$148,"bewusst abgewichen")</f>
        <v>0</v>
      </c>
      <c r="H24" s="27" t="n">
        <f aca="false">COUNTIFS(Checkliste!$B$3:$B$148,$B24,Checkliste!$E$3:$E$148,"n.a. (nicht lizenziert)")</f>
        <v>0</v>
      </c>
      <c r="I24" s="27" t="n">
        <f aca="false">COUNTIFS(Checkliste!$B$3:$B$148,$B24,Checkliste!$E$3:$E$148,"offen")</f>
        <v>6</v>
      </c>
    </row>
    <row r="25" customFormat="false" ht="15" hidden="false" customHeight="false" outlineLevel="0" collapsed="false">
      <c r="B25" s="26" t="s">
        <v>540</v>
      </c>
      <c r="C25" s="27" t="n">
        <f aca="false">COUNTIFS(Checkliste!$B$3:$B$148,$B25,Checkliste!$A$3:$A$148,"&lt;&gt;")</f>
        <v>5</v>
      </c>
      <c r="D25" s="27" t="n">
        <f aca="false">COUNTIFS(Checkliste!$B$3:$B$148,$B25,Checkliste!$E$3:$E$148,"OK")</f>
        <v>0</v>
      </c>
      <c r="E25" s="27" t="n">
        <f aca="false">COUNTIFS(Checkliste!$B$3:$B$148,$B25,Checkliste!$E$3:$E$148,"Verbesserung empfohlen")</f>
        <v>0</v>
      </c>
      <c r="F25" s="27" t="n">
        <f aca="false">COUNTIFS(Checkliste!$B$3:$B$148,$B25,Checkliste!$E$3:$E$148,"Kritisch")</f>
        <v>0</v>
      </c>
      <c r="G25" s="27" t="n">
        <f aca="false">COUNTIFS(Checkliste!$B$3:$B$148,$B25,Checkliste!$E$3:$E$148,"bewusst abgewichen")</f>
        <v>0</v>
      </c>
      <c r="H25" s="27" t="n">
        <f aca="false">COUNTIFS(Checkliste!$B$3:$B$148,$B25,Checkliste!$E$3:$E$148,"n.a. (nicht lizenziert)")</f>
        <v>0</v>
      </c>
      <c r="I25" s="27" t="n">
        <f aca="false">COUNTIFS(Checkliste!$B$3:$B$148,$B25,Checkliste!$E$3:$E$148,"offen")</f>
        <v>5</v>
      </c>
    </row>
    <row r="26" customFormat="false" ht="15" hidden="false" customHeight="false" outlineLevel="0" collapsed="false">
      <c r="B26" s="26" t="s">
        <v>578</v>
      </c>
      <c r="C26" s="27" t="n">
        <f aca="false">COUNTIFS(Checkliste!$B$3:$B$148,$B26,Checkliste!$A$3:$A$148,"&lt;&gt;")</f>
        <v>5</v>
      </c>
      <c r="D26" s="27" t="n">
        <f aca="false">COUNTIFS(Checkliste!$B$3:$B$148,$B26,Checkliste!$E$3:$E$148,"OK")</f>
        <v>0</v>
      </c>
      <c r="E26" s="27" t="n">
        <f aca="false">COUNTIFS(Checkliste!$B$3:$B$148,$B26,Checkliste!$E$3:$E$148,"Verbesserung empfohlen")</f>
        <v>0</v>
      </c>
      <c r="F26" s="27" t="n">
        <f aca="false">COUNTIFS(Checkliste!$B$3:$B$148,$B26,Checkliste!$E$3:$E$148,"Kritisch")</f>
        <v>0</v>
      </c>
      <c r="G26" s="27" t="n">
        <f aca="false">COUNTIFS(Checkliste!$B$3:$B$148,$B26,Checkliste!$E$3:$E$148,"bewusst abgewichen")</f>
        <v>0</v>
      </c>
      <c r="H26" s="27" t="n">
        <f aca="false">COUNTIFS(Checkliste!$B$3:$B$148,$B26,Checkliste!$E$3:$E$148,"n.a. (nicht lizenziert)")</f>
        <v>0</v>
      </c>
      <c r="I26" s="27" t="n">
        <f aca="false">COUNTIFS(Checkliste!$B$3:$B$148,$B26,Checkliste!$E$3:$E$148,"offen")</f>
        <v>5</v>
      </c>
    </row>
    <row r="27" customFormat="false" ht="15" hidden="false" customHeight="false" outlineLevel="0" collapsed="false">
      <c r="B27" s="26" t="s">
        <v>623</v>
      </c>
      <c r="C27" s="27" t="n">
        <f aca="false">COUNTIFS(Checkliste!$B$3:$B$148,$B27,Checkliste!$A$3:$A$148,"&lt;&gt;")</f>
        <v>7</v>
      </c>
      <c r="D27" s="27" t="n">
        <f aca="false">COUNTIFS(Checkliste!$B$3:$B$148,$B27,Checkliste!$E$3:$E$148,"OK")</f>
        <v>0</v>
      </c>
      <c r="E27" s="27" t="n">
        <f aca="false">COUNTIFS(Checkliste!$B$3:$B$148,$B27,Checkliste!$E$3:$E$148,"Verbesserung empfohlen")</f>
        <v>0</v>
      </c>
      <c r="F27" s="27" t="n">
        <f aca="false">COUNTIFS(Checkliste!$B$3:$B$148,$B27,Checkliste!$E$3:$E$148,"Kritisch")</f>
        <v>0</v>
      </c>
      <c r="G27" s="27" t="n">
        <f aca="false">COUNTIFS(Checkliste!$B$3:$B$148,$B27,Checkliste!$E$3:$E$148,"bewusst abgewichen")</f>
        <v>0</v>
      </c>
      <c r="H27" s="27" t="n">
        <f aca="false">COUNTIFS(Checkliste!$B$3:$B$148,$B27,Checkliste!$E$3:$E$148,"n.a. (nicht lizenziert)")</f>
        <v>0</v>
      </c>
      <c r="I27" s="27" t="n">
        <f aca="false">COUNTIFS(Checkliste!$B$3:$B$148,$B27,Checkliste!$E$3:$E$148,"offen")</f>
        <v>7</v>
      </c>
    </row>
    <row r="28" customFormat="false" ht="15" hidden="false" customHeight="false" outlineLevel="0" collapsed="false">
      <c r="B28" s="26" t="s">
        <v>680</v>
      </c>
      <c r="C28" s="27" t="n">
        <f aca="false">COUNTIFS(Checkliste!$B$3:$B$148,$B28,Checkliste!$A$3:$A$148,"&lt;&gt;")</f>
        <v>4</v>
      </c>
      <c r="D28" s="27" t="n">
        <f aca="false">COUNTIFS(Checkliste!$B$3:$B$148,$B28,Checkliste!$E$3:$E$148,"OK")</f>
        <v>0</v>
      </c>
      <c r="E28" s="27" t="n">
        <f aca="false">COUNTIFS(Checkliste!$B$3:$B$148,$B28,Checkliste!$E$3:$E$148,"Verbesserung empfohlen")</f>
        <v>0</v>
      </c>
      <c r="F28" s="27" t="n">
        <f aca="false">COUNTIFS(Checkliste!$B$3:$B$148,$B28,Checkliste!$E$3:$E$148,"Kritisch")</f>
        <v>0</v>
      </c>
      <c r="G28" s="27" t="n">
        <f aca="false">COUNTIFS(Checkliste!$B$3:$B$148,$B28,Checkliste!$E$3:$E$148,"bewusst abgewichen")</f>
        <v>0</v>
      </c>
      <c r="H28" s="27" t="n">
        <f aca="false">COUNTIFS(Checkliste!$B$3:$B$148,$B28,Checkliste!$E$3:$E$148,"n.a. (nicht lizenziert)")</f>
        <v>0</v>
      </c>
      <c r="I28" s="27" t="n">
        <f aca="false">COUNTIFS(Checkliste!$B$3:$B$148,$B28,Checkliste!$E$3:$E$148,"offen")</f>
        <v>4</v>
      </c>
    </row>
    <row r="29" customFormat="false" ht="15" hidden="false" customHeight="false" outlineLevel="0" collapsed="false">
      <c r="B29" s="26" t="s">
        <v>717</v>
      </c>
      <c r="C29" s="27" t="n">
        <f aca="false">COUNTIFS(Checkliste!$B$3:$B$148,$B29,Checkliste!$A$3:$A$148,"&lt;&gt;")</f>
        <v>3</v>
      </c>
      <c r="D29" s="27" t="n">
        <f aca="false">COUNTIFS(Checkliste!$B$3:$B$148,$B29,Checkliste!$E$3:$E$148,"OK")</f>
        <v>0</v>
      </c>
      <c r="E29" s="27" t="n">
        <f aca="false">COUNTIFS(Checkliste!$B$3:$B$148,$B29,Checkliste!$E$3:$E$148,"Verbesserung empfohlen")</f>
        <v>0</v>
      </c>
      <c r="F29" s="27" t="n">
        <f aca="false">COUNTIFS(Checkliste!$B$3:$B$148,$B29,Checkliste!$E$3:$E$148,"Kritisch")</f>
        <v>0</v>
      </c>
      <c r="G29" s="27" t="n">
        <f aca="false">COUNTIFS(Checkliste!$B$3:$B$148,$B29,Checkliste!$E$3:$E$148,"bewusst abgewichen")</f>
        <v>0</v>
      </c>
      <c r="H29" s="27" t="n">
        <f aca="false">COUNTIFS(Checkliste!$B$3:$B$148,$B29,Checkliste!$E$3:$E$148,"n.a. (nicht lizenziert)")</f>
        <v>0</v>
      </c>
      <c r="I29" s="27" t="n">
        <f aca="false">COUNTIFS(Checkliste!$B$3:$B$148,$B29,Checkliste!$E$3:$E$148,"offen")</f>
        <v>3</v>
      </c>
    </row>
    <row r="30" customFormat="false" ht="15" hidden="false" customHeight="false" outlineLevel="0" collapsed="false">
      <c r="B30" s="26" t="s">
        <v>743</v>
      </c>
      <c r="C30" s="27" t="n">
        <f aca="false">COUNTIFS(Checkliste!$B$3:$B$148,$B30,Checkliste!$A$3:$A$148,"&lt;&gt;")</f>
        <v>12</v>
      </c>
      <c r="D30" s="27" t="n">
        <f aca="false">COUNTIFS(Checkliste!$B$3:$B$148,$B30,Checkliste!$E$3:$E$148,"OK")</f>
        <v>0</v>
      </c>
      <c r="E30" s="27" t="n">
        <f aca="false">COUNTIFS(Checkliste!$B$3:$B$148,$B30,Checkliste!$E$3:$E$148,"Verbesserung empfohlen")</f>
        <v>0</v>
      </c>
      <c r="F30" s="27" t="n">
        <f aca="false">COUNTIFS(Checkliste!$B$3:$B$148,$B30,Checkliste!$E$3:$E$148,"Kritisch")</f>
        <v>0</v>
      </c>
      <c r="G30" s="27" t="n">
        <f aca="false">COUNTIFS(Checkliste!$B$3:$B$148,$B30,Checkliste!$E$3:$E$148,"bewusst abgewichen")</f>
        <v>0</v>
      </c>
      <c r="H30" s="27" t="n">
        <f aca="false">COUNTIFS(Checkliste!$B$3:$B$148,$B30,Checkliste!$E$3:$E$148,"n.a. (nicht lizenziert)")</f>
        <v>0</v>
      </c>
      <c r="I30" s="27" t="n">
        <f aca="false">COUNTIFS(Checkliste!$B$3:$B$148,$B30,Checkliste!$E$3:$E$148,"offen")</f>
        <v>12</v>
      </c>
    </row>
    <row r="31" customFormat="false" ht="15" hidden="false" customHeight="false" outlineLevel="0" collapsed="false">
      <c r="B31" s="26" t="s">
        <v>827</v>
      </c>
      <c r="C31" s="27" t="n">
        <f aca="false">COUNTIFS(Checkliste!$B$3:$B$148,$B31,Checkliste!$A$3:$A$148,"&lt;&gt;")</f>
        <v>2</v>
      </c>
      <c r="D31" s="27" t="n">
        <f aca="false">COUNTIFS(Checkliste!$B$3:$B$148,$B31,Checkliste!$E$3:$E$148,"OK")</f>
        <v>0</v>
      </c>
      <c r="E31" s="27" t="n">
        <f aca="false">COUNTIFS(Checkliste!$B$3:$B$148,$B31,Checkliste!$E$3:$E$148,"Verbesserung empfohlen")</f>
        <v>0</v>
      </c>
      <c r="F31" s="27" t="n">
        <f aca="false">COUNTIFS(Checkliste!$B$3:$B$148,$B31,Checkliste!$E$3:$E$148,"Kritisch")</f>
        <v>0</v>
      </c>
      <c r="G31" s="27" t="n">
        <f aca="false">COUNTIFS(Checkliste!$B$3:$B$148,$B31,Checkliste!$E$3:$E$148,"bewusst abgewichen")</f>
        <v>0</v>
      </c>
      <c r="H31" s="27" t="n">
        <f aca="false">COUNTIFS(Checkliste!$B$3:$B$148,$B31,Checkliste!$E$3:$E$148,"n.a. (nicht lizenziert)")</f>
        <v>0</v>
      </c>
      <c r="I31" s="27" t="n">
        <f aca="false">COUNTIFS(Checkliste!$B$3:$B$148,$B31,Checkliste!$E$3:$E$148,"offen")</f>
        <v>2</v>
      </c>
    </row>
    <row r="32" customFormat="false" ht="15" hidden="false" customHeight="false" outlineLevel="0" collapsed="false">
      <c r="B32" s="26" t="s">
        <v>843</v>
      </c>
      <c r="C32" s="27" t="n">
        <f aca="false">COUNTIFS(Checkliste!$B$3:$B$148,$B32,Checkliste!$A$3:$A$148,"&lt;&gt;")</f>
        <v>3</v>
      </c>
      <c r="D32" s="27" t="n">
        <f aca="false">COUNTIFS(Checkliste!$B$3:$B$148,$B32,Checkliste!$E$3:$E$148,"OK")</f>
        <v>0</v>
      </c>
      <c r="E32" s="27" t="n">
        <f aca="false">COUNTIFS(Checkliste!$B$3:$B$148,$B32,Checkliste!$E$3:$E$148,"Verbesserung empfohlen")</f>
        <v>0</v>
      </c>
      <c r="F32" s="27" t="n">
        <f aca="false">COUNTIFS(Checkliste!$B$3:$B$148,$B32,Checkliste!$E$3:$E$148,"Kritisch")</f>
        <v>0</v>
      </c>
      <c r="G32" s="27" t="n">
        <f aca="false">COUNTIFS(Checkliste!$B$3:$B$148,$B32,Checkliste!$E$3:$E$148,"bewusst abgewichen")</f>
        <v>0</v>
      </c>
      <c r="H32" s="27" t="n">
        <f aca="false">COUNTIFS(Checkliste!$B$3:$B$148,$B32,Checkliste!$E$3:$E$148,"n.a. (nicht lizenziert)")</f>
        <v>0</v>
      </c>
      <c r="I32" s="27" t="n">
        <f aca="false">COUNTIFS(Checkliste!$B$3:$B$148,$B32,Checkliste!$E$3:$E$148,"offen")</f>
        <v>3</v>
      </c>
    </row>
    <row r="33" customFormat="false" ht="15" hidden="false" customHeight="false" outlineLevel="0" collapsed="false">
      <c r="B33" s="26" t="s">
        <v>871</v>
      </c>
      <c r="C33" s="27" t="n">
        <f aca="false">COUNTIFS(Checkliste!$B$3:$B$148,$B33,Checkliste!$A$3:$A$148,"&lt;&gt;")</f>
        <v>4</v>
      </c>
      <c r="D33" s="27" t="n">
        <f aca="false">COUNTIFS(Checkliste!$B$3:$B$148,$B33,Checkliste!$E$3:$E$148,"OK")</f>
        <v>0</v>
      </c>
      <c r="E33" s="27" t="n">
        <f aca="false">COUNTIFS(Checkliste!$B$3:$B$148,$B33,Checkliste!$E$3:$E$148,"Verbesserung empfohlen")</f>
        <v>0</v>
      </c>
      <c r="F33" s="27" t="n">
        <f aca="false">COUNTIFS(Checkliste!$B$3:$B$148,$B33,Checkliste!$E$3:$E$148,"Kritisch")</f>
        <v>0</v>
      </c>
      <c r="G33" s="27" t="n">
        <f aca="false">COUNTIFS(Checkliste!$B$3:$B$148,$B33,Checkliste!$E$3:$E$148,"bewusst abgewichen")</f>
        <v>0</v>
      </c>
      <c r="H33" s="27" t="n">
        <f aca="false">COUNTIFS(Checkliste!$B$3:$B$148,$B33,Checkliste!$E$3:$E$148,"n.a. (nicht lizenziert)")</f>
        <v>0</v>
      </c>
      <c r="I33" s="27" t="n">
        <f aca="false">COUNTIFS(Checkliste!$B$3:$B$148,$B33,Checkliste!$E$3:$E$148,"offen")</f>
        <v>4</v>
      </c>
    </row>
    <row r="34" customFormat="false" ht="15" hidden="false" customHeight="false" outlineLevel="0" collapsed="false">
      <c r="B34" s="26" t="s">
        <v>905</v>
      </c>
      <c r="C34" s="27" t="n">
        <f aca="false">COUNTIFS(Checkliste!$B$3:$B$148,$B34,Checkliste!$A$3:$A$148,"&lt;&gt;")</f>
        <v>10</v>
      </c>
      <c r="D34" s="27" t="n">
        <f aca="false">COUNTIFS(Checkliste!$B$3:$B$148,$B34,Checkliste!$E$3:$E$148,"OK")</f>
        <v>0</v>
      </c>
      <c r="E34" s="27" t="n">
        <f aca="false">COUNTIFS(Checkliste!$B$3:$B$148,$B34,Checkliste!$E$3:$E$148,"Verbesserung empfohlen")</f>
        <v>0</v>
      </c>
      <c r="F34" s="27" t="n">
        <f aca="false">COUNTIFS(Checkliste!$B$3:$B$148,$B34,Checkliste!$E$3:$E$148,"Kritisch")</f>
        <v>0</v>
      </c>
      <c r="G34" s="27" t="n">
        <f aca="false">COUNTIFS(Checkliste!$B$3:$B$148,$B34,Checkliste!$E$3:$E$148,"bewusst abgewichen")</f>
        <v>0</v>
      </c>
      <c r="H34" s="27" t="n">
        <f aca="false">COUNTIFS(Checkliste!$B$3:$B$148,$B34,Checkliste!$E$3:$E$148,"n.a. (nicht lizenziert)")</f>
        <v>0</v>
      </c>
      <c r="I34" s="27" t="n">
        <f aca="false">COUNTIFS(Checkliste!$B$3:$B$148,$B34,Checkliste!$E$3:$E$148,"offen")</f>
        <v>10</v>
      </c>
    </row>
    <row r="35" customFormat="false" ht="15" hidden="false" customHeight="false" outlineLevel="0" collapsed="false">
      <c r="B35" s="26" t="s">
        <v>976</v>
      </c>
      <c r="C35" s="27" t="n">
        <f aca="false">COUNTIFS(Checkliste!$B$3:$B$148,$B35,Checkliste!$A$3:$A$148,"&lt;&gt;")</f>
        <v>4</v>
      </c>
      <c r="D35" s="27" t="n">
        <f aca="false">COUNTIFS(Checkliste!$B$3:$B$148,$B35,Checkliste!$E$3:$E$148,"OK")</f>
        <v>0</v>
      </c>
      <c r="E35" s="27" t="n">
        <f aca="false">COUNTIFS(Checkliste!$B$3:$B$148,$B35,Checkliste!$E$3:$E$148,"Verbesserung empfohlen")</f>
        <v>0</v>
      </c>
      <c r="F35" s="27" t="n">
        <f aca="false">COUNTIFS(Checkliste!$B$3:$B$148,$B35,Checkliste!$E$3:$E$148,"Kritisch")</f>
        <v>0</v>
      </c>
      <c r="G35" s="27" t="n">
        <f aca="false">COUNTIFS(Checkliste!$B$3:$B$148,$B35,Checkliste!$E$3:$E$148,"bewusst abgewichen")</f>
        <v>0</v>
      </c>
      <c r="H35" s="27" t="n">
        <f aca="false">COUNTIFS(Checkliste!$B$3:$B$148,$B35,Checkliste!$E$3:$E$148,"n.a. (nicht lizenziert)")</f>
        <v>0</v>
      </c>
      <c r="I35" s="27" t="n">
        <f aca="false">COUNTIFS(Checkliste!$B$3:$B$148,$B35,Checkliste!$E$3:$E$148,"offen")</f>
        <v>4</v>
      </c>
    </row>
    <row r="36" customFormat="false" ht="15" hidden="false" customHeight="false" outlineLevel="0" collapsed="false">
      <c r="B36" s="26" t="s">
        <v>1003</v>
      </c>
      <c r="C36" s="27" t="n">
        <f aca="false">COUNTIFS(Checkliste!$B$3:$B$148,$B36,Checkliste!$A$3:$A$148,"&lt;&gt;")</f>
        <v>1</v>
      </c>
      <c r="D36" s="27" t="n">
        <f aca="false">COUNTIFS(Checkliste!$B$3:$B$148,$B36,Checkliste!$E$3:$E$148,"OK")</f>
        <v>0</v>
      </c>
      <c r="E36" s="27" t="n">
        <f aca="false">COUNTIFS(Checkliste!$B$3:$B$148,$B36,Checkliste!$E$3:$E$148,"Verbesserung empfohlen")</f>
        <v>0</v>
      </c>
      <c r="F36" s="27" t="n">
        <f aca="false">COUNTIFS(Checkliste!$B$3:$B$148,$B36,Checkliste!$E$3:$E$148,"Kritisch")</f>
        <v>0</v>
      </c>
      <c r="G36" s="27" t="n">
        <f aca="false">COUNTIFS(Checkliste!$B$3:$B$148,$B36,Checkliste!$E$3:$E$148,"bewusst abgewichen")</f>
        <v>0</v>
      </c>
      <c r="H36" s="27" t="n">
        <f aca="false">COUNTIFS(Checkliste!$B$3:$B$148,$B36,Checkliste!$E$3:$E$148,"n.a. (nicht lizenziert)")</f>
        <v>0</v>
      </c>
      <c r="I36" s="27" t="n">
        <f aca="false">COUNTIFS(Checkliste!$B$3:$B$148,$B36,Checkliste!$E$3:$E$148,"offen")</f>
        <v>1</v>
      </c>
    </row>
    <row r="37" customFormat="false" ht="15" hidden="false" customHeight="false" outlineLevel="0" collapsed="false">
      <c r="B37" s="26" t="s">
        <v>1037</v>
      </c>
      <c r="C37" s="27" t="n">
        <f aca="false">COUNTIFS(Checkliste!$B$3:$B$148,$B37,Checkliste!$A$3:$A$148,"&lt;&gt;")</f>
        <v>3</v>
      </c>
      <c r="D37" s="27" t="n">
        <f aca="false">COUNTIFS(Checkliste!$B$3:$B$148,$B37,Checkliste!$E$3:$E$148,"OK")</f>
        <v>0</v>
      </c>
      <c r="E37" s="27" t="n">
        <f aca="false">COUNTIFS(Checkliste!$B$3:$B$148,$B37,Checkliste!$E$3:$E$148,"Verbesserung empfohlen")</f>
        <v>0</v>
      </c>
      <c r="F37" s="27" t="n">
        <f aca="false">COUNTIFS(Checkliste!$B$3:$B$148,$B37,Checkliste!$E$3:$E$148,"Kritisch")</f>
        <v>0</v>
      </c>
      <c r="G37" s="27" t="n">
        <f aca="false">COUNTIFS(Checkliste!$B$3:$B$148,$B37,Checkliste!$E$3:$E$148,"bewusst abgewichen")</f>
        <v>0</v>
      </c>
      <c r="H37" s="27" t="n">
        <f aca="false">COUNTIFS(Checkliste!$B$3:$B$148,$B37,Checkliste!$E$3:$E$148,"n.a. (nicht lizenziert)")</f>
        <v>0</v>
      </c>
      <c r="I37" s="27" t="n">
        <f aca="false">COUNTIFS(Checkliste!$B$3:$B$148,$B37,Checkliste!$E$3:$E$148,"offen")</f>
        <v>3</v>
      </c>
    </row>
    <row r="38" customFormat="false" ht="15" hidden="false" customHeight="false" outlineLevel="0" collapsed="false">
      <c r="B38" s="26" t="s">
        <v>1057</v>
      </c>
      <c r="C38" s="27" t="n">
        <f aca="false">COUNTIFS(Checkliste!$B$3:$B$148,$B38,Checkliste!$A$3:$A$148,"&lt;&gt;")</f>
        <v>1</v>
      </c>
      <c r="D38" s="27" t="n">
        <f aca="false">COUNTIFS(Checkliste!$B$3:$B$148,$B38,Checkliste!$E$3:$E$148,"OK")</f>
        <v>0</v>
      </c>
      <c r="E38" s="27" t="n">
        <f aca="false">COUNTIFS(Checkliste!$B$3:$B$148,$B38,Checkliste!$E$3:$E$148,"Verbesserung empfohlen")</f>
        <v>0</v>
      </c>
      <c r="F38" s="27" t="n">
        <f aca="false">COUNTIFS(Checkliste!$B$3:$B$148,$B38,Checkliste!$E$3:$E$148,"Kritisch")</f>
        <v>0</v>
      </c>
      <c r="G38" s="27" t="n">
        <f aca="false">COUNTIFS(Checkliste!$B$3:$B$148,$B38,Checkliste!$E$3:$E$148,"bewusst abgewichen")</f>
        <v>0</v>
      </c>
      <c r="H38" s="27" t="n">
        <f aca="false">COUNTIFS(Checkliste!$B$3:$B$148,$B38,Checkliste!$E$3:$E$148,"n.a. (nicht lizenziert)")</f>
        <v>0</v>
      </c>
      <c r="I38" s="27" t="n">
        <f aca="false">COUNTIFS(Checkliste!$B$3:$B$148,$B38,Checkliste!$E$3:$E$148,"offen")</f>
        <v>1</v>
      </c>
    </row>
    <row r="39" customFormat="false" ht="15" hidden="false" customHeight="false" outlineLevel="0" collapsed="false">
      <c r="B39" s="26" t="s">
        <v>1070</v>
      </c>
      <c r="C39" s="27" t="n">
        <f aca="false">COUNTIFS(Checkliste!$B$3:$B$148,$B39,Checkliste!$A$3:$A$148,"&lt;&gt;")</f>
        <v>1</v>
      </c>
      <c r="D39" s="27" t="n">
        <f aca="false">COUNTIFS(Checkliste!$B$3:$B$148,$B39,Checkliste!$E$3:$E$148,"OK")</f>
        <v>0</v>
      </c>
      <c r="E39" s="27" t="n">
        <f aca="false">COUNTIFS(Checkliste!$B$3:$B$148,$B39,Checkliste!$E$3:$E$148,"Verbesserung empfohlen")</f>
        <v>0</v>
      </c>
      <c r="F39" s="27" t="n">
        <f aca="false">COUNTIFS(Checkliste!$B$3:$B$148,$B39,Checkliste!$E$3:$E$148,"Kritisch")</f>
        <v>0</v>
      </c>
      <c r="G39" s="27" t="n">
        <f aca="false">COUNTIFS(Checkliste!$B$3:$B$148,$B39,Checkliste!$E$3:$E$148,"bewusst abgewichen")</f>
        <v>0</v>
      </c>
      <c r="H39" s="27" t="n">
        <f aca="false">COUNTIFS(Checkliste!$B$3:$B$148,$B39,Checkliste!$E$3:$E$148,"n.a. (nicht lizenziert)")</f>
        <v>0</v>
      </c>
      <c r="I39" s="27" t="n">
        <f aca="false">COUNTIFS(Checkliste!$B$3:$B$148,$B39,Checkliste!$E$3:$E$148,"offen")</f>
        <v>1</v>
      </c>
    </row>
    <row r="41" customFormat="false" ht="15" hidden="false" customHeight="false" outlineLevel="0" collapsed="false">
      <c r="B41" s="18" t="s">
        <v>1089</v>
      </c>
    </row>
    <row r="42" customFormat="false" ht="15" hidden="false" customHeight="true" outlineLevel="0" collapsed="false">
      <c r="B42" s="28" t="s">
        <v>1090</v>
      </c>
      <c r="C42" s="28"/>
      <c r="D42" s="28"/>
      <c r="E42" s="28"/>
      <c r="F42" s="28"/>
      <c r="G42" s="28"/>
      <c r="H42" s="28"/>
      <c r="I42" s="28"/>
    </row>
    <row r="43" customFormat="false" ht="15" hidden="false" customHeight="false" outlineLevel="0" collapsed="false">
      <c r="B43" s="28"/>
      <c r="C43" s="28"/>
      <c r="D43" s="28"/>
      <c r="E43" s="28"/>
      <c r="F43" s="28"/>
      <c r="G43" s="28"/>
      <c r="H43" s="28"/>
      <c r="I43" s="28"/>
    </row>
  </sheetData>
  <mergeCells count="1">
    <mergeCell ref="B42:I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0"/>
    <col collapsed="false" customWidth="true" hidden="false" outlineLevel="0" max="4" min="4" style="0" width="70"/>
  </cols>
  <sheetData>
    <row r="1" customFormat="false" ht="15" hidden="false" customHeight="false" outlineLevel="0" collapsed="false">
      <c r="A1" s="29" t="s">
        <v>50</v>
      </c>
      <c r="B1" s="29" t="s">
        <v>51</v>
      </c>
      <c r="C1" s="29" t="s">
        <v>52</v>
      </c>
      <c r="D1" s="29" t="s">
        <v>55</v>
      </c>
    </row>
    <row r="2" customFormat="false" ht="30" hidden="false" customHeight="true" outlineLevel="0" collapsed="false">
      <c r="A2" s="12" t="s">
        <v>85</v>
      </c>
      <c r="B2" s="12" t="s">
        <v>84</v>
      </c>
      <c r="C2" s="12" t="s">
        <v>86</v>
      </c>
      <c r="D2" s="12" t="s">
        <v>87</v>
      </c>
    </row>
    <row r="3" customFormat="false" ht="30" hidden="false" customHeight="true" outlineLevel="0" collapsed="false">
      <c r="A3" s="12" t="s">
        <v>96</v>
      </c>
      <c r="B3" s="12" t="s">
        <v>84</v>
      </c>
      <c r="C3" s="12" t="s">
        <v>97</v>
      </c>
      <c r="D3" s="12" t="s">
        <v>98</v>
      </c>
    </row>
    <row r="4" customFormat="false" ht="30" hidden="false" customHeight="true" outlineLevel="0" collapsed="false">
      <c r="A4" s="12" t="s">
        <v>107</v>
      </c>
      <c r="B4" s="12" t="s">
        <v>84</v>
      </c>
      <c r="C4" s="12" t="s">
        <v>108</v>
      </c>
      <c r="D4" s="12" t="s">
        <v>109</v>
      </c>
    </row>
    <row r="5" customFormat="false" ht="30" hidden="false" customHeight="true" outlineLevel="0" collapsed="false">
      <c r="A5" s="12" t="s">
        <v>114</v>
      </c>
      <c r="B5" s="12" t="s">
        <v>84</v>
      </c>
      <c r="C5" s="12" t="s">
        <v>115</v>
      </c>
      <c r="D5" s="12" t="s">
        <v>116</v>
      </c>
    </row>
    <row r="6" customFormat="false" ht="30" hidden="false" customHeight="true" outlineLevel="0" collapsed="false">
      <c r="A6" s="12" t="s">
        <v>123</v>
      </c>
      <c r="B6" s="12" t="s">
        <v>84</v>
      </c>
      <c r="C6" s="12" t="s">
        <v>124</v>
      </c>
      <c r="D6" s="12" t="s">
        <v>125</v>
      </c>
    </row>
    <row r="7" customFormat="false" ht="30" hidden="false" customHeight="true" outlineLevel="0" collapsed="false">
      <c r="A7" s="12" t="s">
        <v>131</v>
      </c>
      <c r="B7" s="12" t="s">
        <v>130</v>
      </c>
      <c r="C7" s="12" t="s">
        <v>132</v>
      </c>
      <c r="D7" s="12" t="s">
        <v>72</v>
      </c>
    </row>
    <row r="8" customFormat="false" ht="30" hidden="false" customHeight="true" outlineLevel="0" collapsed="false">
      <c r="A8" s="12" t="s">
        <v>136</v>
      </c>
      <c r="B8" s="12" t="s">
        <v>130</v>
      </c>
      <c r="C8" s="12" t="s">
        <v>137</v>
      </c>
      <c r="D8" s="12" t="s">
        <v>138</v>
      </c>
    </row>
    <row r="9" customFormat="false" ht="30" hidden="false" customHeight="true" outlineLevel="0" collapsed="false">
      <c r="A9" s="12" t="s">
        <v>146</v>
      </c>
      <c r="B9" s="12" t="s">
        <v>130</v>
      </c>
      <c r="C9" s="12" t="s">
        <v>147</v>
      </c>
      <c r="D9" s="12" t="s">
        <v>148</v>
      </c>
    </row>
    <row r="10" customFormat="false" ht="30" hidden="false" customHeight="true" outlineLevel="0" collapsed="false">
      <c r="A10" s="12" t="s">
        <v>155</v>
      </c>
      <c r="B10" s="12" t="s">
        <v>130</v>
      </c>
      <c r="C10" s="12" t="s">
        <v>156</v>
      </c>
      <c r="D10" s="12" t="s">
        <v>150</v>
      </c>
    </row>
    <row r="11" customFormat="false" ht="30" hidden="false" customHeight="true" outlineLevel="0" collapsed="false">
      <c r="A11" s="12" t="s">
        <v>163</v>
      </c>
      <c r="B11" s="12" t="s">
        <v>130</v>
      </c>
      <c r="C11" s="12" t="s">
        <v>164</v>
      </c>
      <c r="D11" s="12" t="s">
        <v>165</v>
      </c>
    </row>
    <row r="12" customFormat="false" ht="30" hidden="false" customHeight="true" outlineLevel="0" collapsed="false">
      <c r="A12" s="12" t="s">
        <v>170</v>
      </c>
      <c r="B12" s="12" t="s">
        <v>130</v>
      </c>
      <c r="C12" s="12" t="s">
        <v>171</v>
      </c>
      <c r="D12" s="12" t="s">
        <v>140</v>
      </c>
    </row>
    <row r="13" customFormat="false" ht="30" hidden="false" customHeight="true" outlineLevel="0" collapsed="false">
      <c r="A13" s="12" t="s">
        <v>177</v>
      </c>
      <c r="B13" s="12" t="s">
        <v>130</v>
      </c>
      <c r="C13" s="12" t="s">
        <v>178</v>
      </c>
      <c r="D13" s="12" t="s">
        <v>179</v>
      </c>
    </row>
    <row r="14" customFormat="false" ht="30" hidden="false" customHeight="true" outlineLevel="0" collapsed="false">
      <c r="A14" s="12" t="s">
        <v>185</v>
      </c>
      <c r="B14" s="12" t="s">
        <v>130</v>
      </c>
      <c r="C14" s="12" t="s">
        <v>186</v>
      </c>
      <c r="D14" s="12" t="s">
        <v>187</v>
      </c>
    </row>
    <row r="15" customFormat="false" ht="30" hidden="false" customHeight="true" outlineLevel="0" collapsed="false">
      <c r="A15" s="12" t="s">
        <v>193</v>
      </c>
      <c r="B15" s="12" t="s">
        <v>130</v>
      </c>
      <c r="C15" s="12" t="s">
        <v>194</v>
      </c>
      <c r="D15" s="12" t="s">
        <v>195</v>
      </c>
    </row>
    <row r="16" customFormat="false" ht="30" hidden="false" customHeight="true" outlineLevel="0" collapsed="false">
      <c r="A16" s="12" t="s">
        <v>202</v>
      </c>
      <c r="B16" s="12" t="s">
        <v>130</v>
      </c>
      <c r="C16" s="12" t="s">
        <v>203</v>
      </c>
      <c r="D16" s="12" t="s">
        <v>204</v>
      </c>
    </row>
    <row r="17" customFormat="false" ht="30" hidden="false" customHeight="true" outlineLevel="0" collapsed="false">
      <c r="A17" s="12" t="s">
        <v>211</v>
      </c>
      <c r="B17" s="12" t="s">
        <v>130</v>
      </c>
      <c r="C17" s="12" t="s">
        <v>212</v>
      </c>
      <c r="D17" s="12" t="s">
        <v>213</v>
      </c>
    </row>
    <row r="18" customFormat="false" ht="30" hidden="false" customHeight="true" outlineLevel="0" collapsed="false">
      <c r="A18" s="12" t="s">
        <v>220</v>
      </c>
      <c r="B18" s="12" t="s">
        <v>130</v>
      </c>
      <c r="C18" s="12" t="s">
        <v>221</v>
      </c>
      <c r="D18" s="12" t="s">
        <v>222</v>
      </c>
    </row>
    <row r="19" customFormat="false" ht="30" hidden="false" customHeight="true" outlineLevel="0" collapsed="false">
      <c r="A19" s="12" t="s">
        <v>229</v>
      </c>
      <c r="B19" s="12" t="s">
        <v>228</v>
      </c>
      <c r="C19" s="12" t="s">
        <v>230</v>
      </c>
      <c r="D19" s="12" t="s">
        <v>231</v>
      </c>
    </row>
    <row r="20" customFormat="false" ht="30" hidden="false" customHeight="true" outlineLevel="0" collapsed="false">
      <c r="A20" s="12" t="s">
        <v>239</v>
      </c>
      <c r="B20" s="12" t="s">
        <v>228</v>
      </c>
      <c r="C20" s="12" t="s">
        <v>240</v>
      </c>
      <c r="D20" s="12" t="s">
        <v>241</v>
      </c>
    </row>
    <row r="21" customFormat="false" ht="30" hidden="false" customHeight="true" outlineLevel="0" collapsed="false">
      <c r="A21" s="12" t="s">
        <v>247</v>
      </c>
      <c r="B21" s="12" t="s">
        <v>228</v>
      </c>
      <c r="C21" s="12" t="s">
        <v>248</v>
      </c>
      <c r="D21" s="12" t="s">
        <v>249</v>
      </c>
    </row>
    <row r="22" customFormat="false" ht="30" hidden="false" customHeight="true" outlineLevel="0" collapsed="false">
      <c r="A22" s="12" t="s">
        <v>255</v>
      </c>
      <c r="B22" s="12" t="s">
        <v>228</v>
      </c>
      <c r="C22" s="12" t="s">
        <v>256</v>
      </c>
      <c r="D22" s="12" t="s">
        <v>257</v>
      </c>
    </row>
    <row r="23" customFormat="false" ht="30" hidden="false" customHeight="true" outlineLevel="0" collapsed="false">
      <c r="A23" s="12" t="s">
        <v>263</v>
      </c>
      <c r="B23" s="12" t="s">
        <v>228</v>
      </c>
      <c r="C23" s="12" t="s">
        <v>264</v>
      </c>
      <c r="D23" s="12" t="s">
        <v>265</v>
      </c>
    </row>
    <row r="24" customFormat="false" ht="30" hidden="false" customHeight="true" outlineLevel="0" collapsed="false">
      <c r="A24" s="12" t="s">
        <v>271</v>
      </c>
      <c r="B24" s="12" t="s">
        <v>270</v>
      </c>
      <c r="C24" s="12" t="s">
        <v>272</v>
      </c>
      <c r="D24" s="12" t="s">
        <v>273</v>
      </c>
    </row>
    <row r="25" customFormat="false" ht="30" hidden="false" customHeight="true" outlineLevel="0" collapsed="false">
      <c r="A25" s="12" t="s">
        <v>280</v>
      </c>
      <c r="B25" s="12" t="s">
        <v>270</v>
      </c>
      <c r="C25" s="12" t="s">
        <v>281</v>
      </c>
      <c r="D25" s="12" t="s">
        <v>282</v>
      </c>
    </row>
    <row r="26" customFormat="false" ht="30" hidden="false" customHeight="true" outlineLevel="0" collapsed="false">
      <c r="A26" s="12" t="s">
        <v>288</v>
      </c>
      <c r="B26" s="12" t="s">
        <v>270</v>
      </c>
      <c r="C26" s="12" t="s">
        <v>289</v>
      </c>
      <c r="D26" s="12" t="s">
        <v>290</v>
      </c>
    </row>
    <row r="27" customFormat="false" ht="30" hidden="false" customHeight="true" outlineLevel="0" collapsed="false">
      <c r="A27" s="12" t="s">
        <v>296</v>
      </c>
      <c r="B27" s="12" t="s">
        <v>295</v>
      </c>
      <c r="C27" s="12" t="s">
        <v>297</v>
      </c>
      <c r="D27" s="12" t="s">
        <v>298</v>
      </c>
    </row>
    <row r="28" customFormat="false" ht="30" hidden="false" customHeight="true" outlineLevel="0" collapsed="false">
      <c r="A28" s="12" t="s">
        <v>305</v>
      </c>
      <c r="B28" s="12" t="s">
        <v>295</v>
      </c>
      <c r="C28" s="12" t="s">
        <v>306</v>
      </c>
      <c r="D28" s="12" t="s">
        <v>307</v>
      </c>
    </row>
    <row r="29" customFormat="false" ht="30" hidden="false" customHeight="true" outlineLevel="0" collapsed="false">
      <c r="A29" s="12" t="s">
        <v>316</v>
      </c>
      <c r="B29" s="12" t="s">
        <v>295</v>
      </c>
      <c r="C29" s="12" t="s">
        <v>317</v>
      </c>
      <c r="D29" s="12" t="s">
        <v>318</v>
      </c>
    </row>
    <row r="30" customFormat="false" ht="30" hidden="false" customHeight="true" outlineLevel="0" collapsed="false">
      <c r="A30" s="12" t="s">
        <v>326</v>
      </c>
      <c r="B30" s="12" t="s">
        <v>295</v>
      </c>
      <c r="C30" s="12" t="s">
        <v>327</v>
      </c>
      <c r="D30" s="12" t="s">
        <v>328</v>
      </c>
    </row>
    <row r="31" customFormat="false" ht="30" hidden="false" customHeight="true" outlineLevel="0" collapsed="false">
      <c r="A31" s="12" t="s">
        <v>335</v>
      </c>
      <c r="B31" s="12" t="s">
        <v>295</v>
      </c>
      <c r="C31" s="12" t="s">
        <v>336</v>
      </c>
      <c r="D31" s="12" t="s">
        <v>337</v>
      </c>
    </row>
    <row r="32" customFormat="false" ht="30" hidden="false" customHeight="true" outlineLevel="0" collapsed="false">
      <c r="A32" s="12" t="s">
        <v>342</v>
      </c>
      <c r="B32" s="12" t="s">
        <v>295</v>
      </c>
      <c r="C32" s="12" t="s">
        <v>343</v>
      </c>
      <c r="D32" s="12" t="s">
        <v>344</v>
      </c>
    </row>
    <row r="33" customFormat="false" ht="30" hidden="false" customHeight="true" outlineLevel="0" collapsed="false">
      <c r="A33" s="12" t="s">
        <v>352</v>
      </c>
      <c r="B33" s="12" t="s">
        <v>351</v>
      </c>
      <c r="C33" s="12" t="s">
        <v>353</v>
      </c>
      <c r="D33" s="12" t="s">
        <v>179</v>
      </c>
    </row>
    <row r="34" customFormat="false" ht="30" hidden="false" customHeight="true" outlineLevel="0" collapsed="false">
      <c r="A34" s="12" t="s">
        <v>358</v>
      </c>
      <c r="B34" s="12" t="s">
        <v>351</v>
      </c>
      <c r="C34" s="12" t="s">
        <v>359</v>
      </c>
      <c r="D34" s="12" t="s">
        <v>360</v>
      </c>
    </row>
    <row r="35" customFormat="false" ht="30" hidden="false" customHeight="true" outlineLevel="0" collapsed="false">
      <c r="A35" s="12" t="s">
        <v>367</v>
      </c>
      <c r="B35" s="12" t="s">
        <v>351</v>
      </c>
      <c r="C35" s="12" t="s">
        <v>368</v>
      </c>
      <c r="D35" s="12" t="s">
        <v>369</v>
      </c>
    </row>
    <row r="36" customFormat="false" ht="30" hidden="false" customHeight="true" outlineLevel="0" collapsed="false">
      <c r="A36" s="12" t="s">
        <v>374</v>
      </c>
      <c r="B36" s="12" t="s">
        <v>351</v>
      </c>
      <c r="C36" s="12" t="s">
        <v>375</v>
      </c>
      <c r="D36" s="12" t="s">
        <v>141</v>
      </c>
    </row>
    <row r="37" customFormat="false" ht="30" hidden="false" customHeight="true" outlineLevel="0" collapsed="false">
      <c r="A37" s="12" t="s">
        <v>380</v>
      </c>
      <c r="B37" s="12" t="s">
        <v>351</v>
      </c>
      <c r="C37" s="12" t="s">
        <v>381</v>
      </c>
      <c r="D37" s="12" t="s">
        <v>382</v>
      </c>
    </row>
    <row r="38" customFormat="false" ht="30" hidden="false" customHeight="true" outlineLevel="0" collapsed="false">
      <c r="A38" s="12" t="s">
        <v>388</v>
      </c>
      <c r="B38" s="12" t="s">
        <v>351</v>
      </c>
      <c r="C38" s="12" t="s">
        <v>389</v>
      </c>
      <c r="D38" s="12" t="s">
        <v>179</v>
      </c>
    </row>
    <row r="39" customFormat="false" ht="30" hidden="false" customHeight="true" outlineLevel="0" collapsed="false">
      <c r="A39" s="12" t="s">
        <v>394</v>
      </c>
      <c r="B39" s="12" t="s">
        <v>351</v>
      </c>
      <c r="C39" s="12" t="s">
        <v>395</v>
      </c>
      <c r="D39" s="12" t="s">
        <v>179</v>
      </c>
    </row>
    <row r="40" customFormat="false" ht="30" hidden="false" customHeight="true" outlineLevel="0" collapsed="false">
      <c r="A40" s="12" t="s">
        <v>401</v>
      </c>
      <c r="B40" s="12" t="s">
        <v>351</v>
      </c>
      <c r="C40" s="12" t="s">
        <v>402</v>
      </c>
      <c r="D40" s="12" t="s">
        <v>403</v>
      </c>
    </row>
    <row r="41" customFormat="false" ht="30" hidden="false" customHeight="true" outlineLevel="0" collapsed="false">
      <c r="A41" s="12" t="s">
        <v>414</v>
      </c>
      <c r="B41" s="12" t="s">
        <v>413</v>
      </c>
      <c r="C41" s="12" t="s">
        <v>415</v>
      </c>
      <c r="D41" s="12" t="s">
        <v>416</v>
      </c>
    </row>
    <row r="42" customFormat="false" ht="30" hidden="false" customHeight="true" outlineLevel="0" collapsed="false">
      <c r="A42" s="12" t="s">
        <v>422</v>
      </c>
      <c r="B42" s="12" t="s">
        <v>413</v>
      </c>
      <c r="C42" s="12" t="s">
        <v>423</v>
      </c>
      <c r="D42" s="12" t="s">
        <v>424</v>
      </c>
    </row>
    <row r="43" customFormat="false" ht="30" hidden="false" customHeight="true" outlineLevel="0" collapsed="false">
      <c r="A43" s="12" t="s">
        <v>431</v>
      </c>
      <c r="B43" s="12" t="s">
        <v>413</v>
      </c>
      <c r="C43" s="12" t="s">
        <v>432</v>
      </c>
      <c r="D43" s="12" t="s">
        <v>433</v>
      </c>
    </row>
    <row r="44" customFormat="false" ht="30" hidden="false" customHeight="true" outlineLevel="0" collapsed="false">
      <c r="A44" s="12" t="s">
        <v>440</v>
      </c>
      <c r="B44" s="12" t="s">
        <v>413</v>
      </c>
      <c r="C44" s="12" t="s">
        <v>441</v>
      </c>
      <c r="D44" s="12" t="s">
        <v>442</v>
      </c>
    </row>
    <row r="45" customFormat="false" ht="30" hidden="false" customHeight="true" outlineLevel="0" collapsed="false">
      <c r="A45" s="12" t="s">
        <v>451</v>
      </c>
      <c r="B45" s="12" t="s">
        <v>413</v>
      </c>
      <c r="C45" s="12" t="s">
        <v>452</v>
      </c>
      <c r="D45" s="12" t="s">
        <v>453</v>
      </c>
    </row>
    <row r="46" customFormat="false" ht="30" hidden="false" customHeight="true" outlineLevel="0" collapsed="false">
      <c r="A46" s="12" t="s">
        <v>461</v>
      </c>
      <c r="B46" s="12" t="s">
        <v>413</v>
      </c>
      <c r="C46" s="12" t="s">
        <v>462</v>
      </c>
      <c r="D46" s="12" t="s">
        <v>463</v>
      </c>
    </row>
    <row r="47" customFormat="false" ht="30" hidden="false" customHeight="true" outlineLevel="0" collapsed="false">
      <c r="A47" s="12" t="s">
        <v>470</v>
      </c>
      <c r="B47" s="12" t="s">
        <v>413</v>
      </c>
      <c r="C47" s="12" t="s">
        <v>471</v>
      </c>
      <c r="D47" s="12" t="s">
        <v>472</v>
      </c>
    </row>
    <row r="48" customFormat="false" ht="30" hidden="false" customHeight="true" outlineLevel="0" collapsed="false">
      <c r="A48" s="12" t="s">
        <v>478</v>
      </c>
      <c r="B48" s="12" t="s">
        <v>413</v>
      </c>
      <c r="C48" s="12" t="s">
        <v>479</v>
      </c>
      <c r="D48" s="12" t="s">
        <v>480</v>
      </c>
    </row>
    <row r="49" customFormat="false" ht="30" hidden="false" customHeight="true" outlineLevel="0" collapsed="false">
      <c r="A49" s="12" t="s">
        <v>488</v>
      </c>
      <c r="B49" s="12" t="s">
        <v>487</v>
      </c>
      <c r="C49" s="12" t="s">
        <v>489</v>
      </c>
      <c r="D49" s="12" t="s">
        <v>490</v>
      </c>
    </row>
    <row r="50" customFormat="false" ht="30" hidden="false" customHeight="true" outlineLevel="0" collapsed="false">
      <c r="A50" s="12" t="s">
        <v>497</v>
      </c>
      <c r="B50" s="12" t="s">
        <v>487</v>
      </c>
      <c r="C50" s="12" t="s">
        <v>498</v>
      </c>
      <c r="D50" s="12" t="s">
        <v>499</v>
      </c>
    </row>
    <row r="51" customFormat="false" ht="30" hidden="false" customHeight="true" outlineLevel="0" collapsed="false">
      <c r="A51" s="12" t="s">
        <v>506</v>
      </c>
      <c r="B51" s="12" t="s">
        <v>487</v>
      </c>
      <c r="C51" s="12" t="s">
        <v>507</v>
      </c>
      <c r="D51" s="12" t="s">
        <v>508</v>
      </c>
    </row>
    <row r="52" customFormat="false" ht="30" hidden="false" customHeight="true" outlineLevel="0" collapsed="false">
      <c r="A52" s="12" t="s">
        <v>515</v>
      </c>
      <c r="B52" s="12" t="s">
        <v>487</v>
      </c>
      <c r="C52" s="12" t="s">
        <v>516</v>
      </c>
      <c r="D52" s="12" t="s">
        <v>517</v>
      </c>
    </row>
    <row r="53" customFormat="false" ht="30" hidden="false" customHeight="true" outlineLevel="0" collapsed="false">
      <c r="A53" s="12" t="s">
        <v>523</v>
      </c>
      <c r="B53" s="12" t="s">
        <v>487</v>
      </c>
      <c r="C53" s="12" t="s">
        <v>524</v>
      </c>
      <c r="D53" s="12" t="s">
        <v>525</v>
      </c>
    </row>
    <row r="54" customFormat="false" ht="30" hidden="false" customHeight="true" outlineLevel="0" collapsed="false">
      <c r="A54" s="12" t="s">
        <v>531</v>
      </c>
      <c r="B54" s="12" t="s">
        <v>487</v>
      </c>
      <c r="C54" s="12" t="s">
        <v>532</v>
      </c>
      <c r="D54" s="12" t="s">
        <v>533</v>
      </c>
    </row>
    <row r="55" customFormat="false" ht="30" hidden="false" customHeight="true" outlineLevel="0" collapsed="false">
      <c r="A55" s="12" t="s">
        <v>541</v>
      </c>
      <c r="B55" s="12" t="s">
        <v>540</v>
      </c>
      <c r="C55" s="12" t="s">
        <v>542</v>
      </c>
      <c r="D55" s="12" t="s">
        <v>543</v>
      </c>
    </row>
    <row r="56" customFormat="false" ht="30" hidden="false" customHeight="true" outlineLevel="0" collapsed="false">
      <c r="A56" s="12" t="s">
        <v>548</v>
      </c>
      <c r="B56" s="12" t="s">
        <v>540</v>
      </c>
      <c r="C56" s="12" t="s">
        <v>549</v>
      </c>
      <c r="D56" s="12" t="s">
        <v>179</v>
      </c>
    </row>
    <row r="57" customFormat="false" ht="30" hidden="false" customHeight="true" outlineLevel="0" collapsed="false">
      <c r="A57" s="12" t="s">
        <v>554</v>
      </c>
      <c r="B57" s="12" t="s">
        <v>540</v>
      </c>
      <c r="C57" s="12" t="s">
        <v>555</v>
      </c>
      <c r="D57" s="12" t="s">
        <v>556</v>
      </c>
    </row>
    <row r="58" customFormat="false" ht="30" hidden="false" customHeight="true" outlineLevel="0" collapsed="false">
      <c r="A58" s="12" t="s">
        <v>561</v>
      </c>
      <c r="B58" s="12" t="s">
        <v>540</v>
      </c>
      <c r="C58" s="12" t="s">
        <v>562</v>
      </c>
      <c r="D58" s="12" t="s">
        <v>563</v>
      </c>
    </row>
    <row r="59" customFormat="false" ht="30" hidden="false" customHeight="true" outlineLevel="0" collapsed="false">
      <c r="A59" s="12" t="s">
        <v>569</v>
      </c>
      <c r="B59" s="12" t="s">
        <v>540</v>
      </c>
      <c r="C59" s="12" t="s">
        <v>570</v>
      </c>
      <c r="D59" s="12" t="s">
        <v>571</v>
      </c>
    </row>
    <row r="60" customFormat="false" ht="30" hidden="false" customHeight="true" outlineLevel="0" collapsed="false">
      <c r="A60" s="12" t="s">
        <v>579</v>
      </c>
      <c r="B60" s="12" t="s">
        <v>578</v>
      </c>
      <c r="C60" s="12" t="s">
        <v>580</v>
      </c>
      <c r="D60" s="12" t="s">
        <v>581</v>
      </c>
    </row>
    <row r="61" customFormat="false" ht="30" hidden="false" customHeight="true" outlineLevel="0" collapsed="false">
      <c r="A61" s="12" t="s">
        <v>589</v>
      </c>
      <c r="B61" s="12" t="s">
        <v>578</v>
      </c>
      <c r="C61" s="12" t="s">
        <v>590</v>
      </c>
      <c r="D61" s="12" t="s">
        <v>591</v>
      </c>
    </row>
    <row r="62" customFormat="false" ht="30" hidden="false" customHeight="true" outlineLevel="0" collapsed="false">
      <c r="A62" s="12" t="s">
        <v>597</v>
      </c>
      <c r="B62" s="12" t="s">
        <v>578</v>
      </c>
      <c r="C62" s="12" t="s">
        <v>598</v>
      </c>
      <c r="D62" s="12" t="s">
        <v>179</v>
      </c>
    </row>
    <row r="63" customFormat="false" ht="30" hidden="false" customHeight="true" outlineLevel="0" collapsed="false">
      <c r="A63" s="12" t="s">
        <v>605</v>
      </c>
      <c r="B63" s="12" t="s">
        <v>578</v>
      </c>
      <c r="C63" s="12" t="s">
        <v>606</v>
      </c>
      <c r="D63" s="12" t="s">
        <v>607</v>
      </c>
    </row>
    <row r="64" customFormat="false" ht="30" hidden="false" customHeight="true" outlineLevel="0" collapsed="false">
      <c r="A64" s="12" t="s">
        <v>615</v>
      </c>
      <c r="B64" s="12" t="s">
        <v>578</v>
      </c>
      <c r="C64" s="12" t="s">
        <v>616</v>
      </c>
      <c r="D64" s="12" t="s">
        <v>617</v>
      </c>
    </row>
    <row r="65" customFormat="false" ht="30" hidden="false" customHeight="true" outlineLevel="0" collapsed="false">
      <c r="A65" s="12" t="s">
        <v>624</v>
      </c>
      <c r="B65" s="12" t="s">
        <v>623</v>
      </c>
      <c r="C65" s="12" t="s">
        <v>625</v>
      </c>
      <c r="D65" s="12" t="s">
        <v>463</v>
      </c>
    </row>
    <row r="66" customFormat="false" ht="30" hidden="false" customHeight="true" outlineLevel="0" collapsed="false">
      <c r="A66" s="12" t="s">
        <v>631</v>
      </c>
      <c r="B66" s="12" t="s">
        <v>623</v>
      </c>
      <c r="C66" s="12" t="s">
        <v>632</v>
      </c>
      <c r="D66" s="12" t="s">
        <v>179</v>
      </c>
    </row>
    <row r="67" customFormat="false" ht="30" hidden="false" customHeight="true" outlineLevel="0" collapsed="false">
      <c r="A67" s="12" t="s">
        <v>639</v>
      </c>
      <c r="B67" s="12" t="s">
        <v>623</v>
      </c>
      <c r="C67" s="12" t="s">
        <v>640</v>
      </c>
      <c r="D67" s="12" t="s">
        <v>179</v>
      </c>
    </row>
    <row r="68" customFormat="false" ht="30" hidden="false" customHeight="true" outlineLevel="0" collapsed="false">
      <c r="A68" s="12" t="s">
        <v>645</v>
      </c>
      <c r="B68" s="12" t="s">
        <v>623</v>
      </c>
      <c r="C68" s="12" t="s">
        <v>646</v>
      </c>
      <c r="D68" s="12" t="s">
        <v>647</v>
      </c>
    </row>
    <row r="69" customFormat="false" ht="30" hidden="false" customHeight="true" outlineLevel="0" collapsed="false">
      <c r="A69" s="12" t="s">
        <v>654</v>
      </c>
      <c r="B69" s="12" t="s">
        <v>623</v>
      </c>
      <c r="C69" s="12" t="s">
        <v>655</v>
      </c>
      <c r="D69" s="12" t="s">
        <v>656</v>
      </c>
    </row>
    <row r="70" customFormat="false" ht="30" hidden="false" customHeight="true" outlineLevel="0" collapsed="false">
      <c r="A70" s="12" t="s">
        <v>662</v>
      </c>
      <c r="B70" s="12" t="s">
        <v>623</v>
      </c>
      <c r="C70" s="12" t="s">
        <v>663</v>
      </c>
      <c r="D70" s="12" t="s">
        <v>664</v>
      </c>
    </row>
    <row r="71" customFormat="false" ht="30" hidden="false" customHeight="true" outlineLevel="0" collapsed="false">
      <c r="A71" s="12" t="s">
        <v>670</v>
      </c>
      <c r="B71" s="12" t="s">
        <v>623</v>
      </c>
      <c r="C71" s="12" t="s">
        <v>671</v>
      </c>
      <c r="D71" s="12" t="s">
        <v>672</v>
      </c>
    </row>
    <row r="72" customFormat="false" ht="30" hidden="false" customHeight="true" outlineLevel="0" collapsed="false">
      <c r="A72" s="12" t="s">
        <v>681</v>
      </c>
      <c r="B72" s="12" t="s">
        <v>680</v>
      </c>
      <c r="C72" s="12" t="s">
        <v>682</v>
      </c>
      <c r="D72" s="12" t="s">
        <v>683</v>
      </c>
    </row>
    <row r="73" customFormat="false" ht="30" hidden="false" customHeight="true" outlineLevel="0" collapsed="false">
      <c r="A73" s="12" t="s">
        <v>691</v>
      </c>
      <c r="B73" s="12" t="s">
        <v>680</v>
      </c>
      <c r="C73" s="12" t="s">
        <v>692</v>
      </c>
      <c r="D73" s="12" t="s">
        <v>693</v>
      </c>
    </row>
    <row r="74" customFormat="false" ht="30" hidden="false" customHeight="true" outlineLevel="0" collapsed="false">
      <c r="A74" s="12" t="s">
        <v>699</v>
      </c>
      <c r="B74" s="12" t="s">
        <v>680</v>
      </c>
      <c r="C74" s="12" t="s">
        <v>700</v>
      </c>
      <c r="D74" s="12" t="s">
        <v>701</v>
      </c>
    </row>
    <row r="75" customFormat="false" ht="30" hidden="false" customHeight="true" outlineLevel="0" collapsed="false">
      <c r="A75" s="12" t="s">
        <v>708</v>
      </c>
      <c r="B75" s="12" t="s">
        <v>680</v>
      </c>
      <c r="C75" s="12" t="s">
        <v>709</v>
      </c>
      <c r="D75" s="12" t="s">
        <v>710</v>
      </c>
    </row>
    <row r="76" customFormat="false" ht="30" hidden="false" customHeight="true" outlineLevel="0" collapsed="false">
      <c r="A76" s="12" t="s">
        <v>718</v>
      </c>
      <c r="B76" s="12" t="s">
        <v>717</v>
      </c>
      <c r="C76" s="12" t="s">
        <v>719</v>
      </c>
      <c r="D76" s="12" t="s">
        <v>720</v>
      </c>
    </row>
    <row r="77" customFormat="false" ht="30" hidden="false" customHeight="true" outlineLevel="0" collapsed="false">
      <c r="A77" s="12" t="s">
        <v>727</v>
      </c>
      <c r="B77" s="12" t="s">
        <v>717</v>
      </c>
      <c r="C77" s="12" t="s">
        <v>728</v>
      </c>
      <c r="D77" s="12" t="s">
        <v>729</v>
      </c>
    </row>
    <row r="78" customFormat="false" ht="30" hidden="false" customHeight="true" outlineLevel="0" collapsed="false">
      <c r="A78" s="12" t="s">
        <v>736</v>
      </c>
      <c r="B78" s="12" t="s">
        <v>717</v>
      </c>
      <c r="C78" s="12" t="s">
        <v>737</v>
      </c>
      <c r="D78" s="12" t="s">
        <v>738</v>
      </c>
    </row>
    <row r="79" customFormat="false" ht="30" hidden="false" customHeight="true" outlineLevel="0" collapsed="false">
      <c r="A79" s="12" t="s">
        <v>744</v>
      </c>
      <c r="B79" s="12" t="s">
        <v>743</v>
      </c>
      <c r="C79" s="12" t="s">
        <v>745</v>
      </c>
      <c r="D79" s="12" t="s">
        <v>746</v>
      </c>
    </row>
    <row r="80" customFormat="false" ht="30" hidden="false" customHeight="true" outlineLevel="0" collapsed="false">
      <c r="A80" s="12" t="s">
        <v>752</v>
      </c>
      <c r="B80" s="12" t="s">
        <v>743</v>
      </c>
      <c r="C80" s="12" t="s">
        <v>753</v>
      </c>
      <c r="D80" s="12" t="s">
        <v>754</v>
      </c>
    </row>
    <row r="81" customFormat="false" ht="30" hidden="false" customHeight="true" outlineLevel="0" collapsed="false">
      <c r="A81" s="12" t="s">
        <v>759</v>
      </c>
      <c r="B81" s="12" t="s">
        <v>743</v>
      </c>
      <c r="C81" s="12" t="s">
        <v>760</v>
      </c>
      <c r="D81" s="12" t="s">
        <v>761</v>
      </c>
    </row>
    <row r="82" customFormat="false" ht="30" hidden="false" customHeight="true" outlineLevel="0" collapsed="false">
      <c r="A82" s="12" t="s">
        <v>765</v>
      </c>
      <c r="B82" s="12" t="s">
        <v>743</v>
      </c>
      <c r="C82" s="12" t="s">
        <v>766</v>
      </c>
      <c r="D82" s="12" t="s">
        <v>767</v>
      </c>
    </row>
    <row r="83" customFormat="false" ht="30" hidden="false" customHeight="true" outlineLevel="0" collapsed="false">
      <c r="A83" s="12" t="s">
        <v>774</v>
      </c>
      <c r="B83" s="12" t="s">
        <v>743</v>
      </c>
      <c r="C83" s="12" t="s">
        <v>775</v>
      </c>
      <c r="D83" s="12" t="s">
        <v>776</v>
      </c>
    </row>
    <row r="84" customFormat="false" ht="30" hidden="false" customHeight="true" outlineLevel="0" collapsed="false">
      <c r="A84" s="12" t="s">
        <v>782</v>
      </c>
      <c r="B84" s="12" t="s">
        <v>743</v>
      </c>
      <c r="C84" s="12" t="s">
        <v>783</v>
      </c>
      <c r="D84" s="12" t="s">
        <v>784</v>
      </c>
    </row>
    <row r="85" customFormat="false" ht="30" hidden="false" customHeight="true" outlineLevel="0" collapsed="false">
      <c r="A85" s="12" t="s">
        <v>789</v>
      </c>
      <c r="B85" s="12" t="s">
        <v>743</v>
      </c>
      <c r="C85" s="12" t="s">
        <v>790</v>
      </c>
      <c r="D85" s="12" t="s">
        <v>791</v>
      </c>
    </row>
    <row r="86" customFormat="false" ht="30" hidden="false" customHeight="true" outlineLevel="0" collapsed="false">
      <c r="A86" s="12" t="s">
        <v>794</v>
      </c>
      <c r="B86" s="12" t="s">
        <v>743</v>
      </c>
      <c r="C86" s="12" t="s">
        <v>795</v>
      </c>
      <c r="D86" s="12" t="s">
        <v>796</v>
      </c>
    </row>
    <row r="87" customFormat="false" ht="30" hidden="false" customHeight="true" outlineLevel="0" collapsed="false">
      <c r="A87" s="12" t="s">
        <v>803</v>
      </c>
      <c r="B87" s="12" t="s">
        <v>743</v>
      </c>
      <c r="C87" s="12" t="s">
        <v>804</v>
      </c>
      <c r="D87" s="12" t="s">
        <v>805</v>
      </c>
    </row>
    <row r="88" customFormat="false" ht="30" hidden="false" customHeight="true" outlineLevel="0" collapsed="false">
      <c r="A88" s="12" t="s">
        <v>812</v>
      </c>
      <c r="B88" s="12" t="s">
        <v>743</v>
      </c>
      <c r="C88" s="12" t="s">
        <v>813</v>
      </c>
      <c r="D88" s="12" t="s">
        <v>814</v>
      </c>
    </row>
    <row r="89" customFormat="false" ht="30" hidden="false" customHeight="true" outlineLevel="0" collapsed="false">
      <c r="A89" s="12" t="s">
        <v>820</v>
      </c>
      <c r="B89" s="12" t="s">
        <v>743</v>
      </c>
      <c r="C89" s="12" t="s">
        <v>821</v>
      </c>
      <c r="D89" s="12" t="s">
        <v>822</v>
      </c>
    </row>
    <row r="90" customFormat="false" ht="30" hidden="false" customHeight="true" outlineLevel="0" collapsed="false">
      <c r="A90" s="12" t="s">
        <v>828</v>
      </c>
      <c r="B90" s="12" t="s">
        <v>827</v>
      </c>
      <c r="C90" s="12" t="s">
        <v>829</v>
      </c>
      <c r="D90" s="12" t="s">
        <v>830</v>
      </c>
    </row>
    <row r="91" customFormat="false" ht="30" hidden="false" customHeight="true" outlineLevel="0" collapsed="false">
      <c r="A91" s="12" t="s">
        <v>837</v>
      </c>
      <c r="B91" s="12" t="s">
        <v>827</v>
      </c>
      <c r="C91" s="12" t="s">
        <v>838</v>
      </c>
      <c r="D91" s="12" t="s">
        <v>839</v>
      </c>
    </row>
    <row r="92" customFormat="false" ht="30" hidden="false" customHeight="true" outlineLevel="0" collapsed="false">
      <c r="A92" s="12" t="s">
        <v>844</v>
      </c>
      <c r="B92" s="12" t="s">
        <v>843</v>
      </c>
      <c r="C92" s="12" t="s">
        <v>845</v>
      </c>
      <c r="D92" s="12" t="s">
        <v>179</v>
      </c>
    </row>
    <row r="93" customFormat="false" ht="30" hidden="false" customHeight="true" outlineLevel="0" collapsed="false">
      <c r="A93" s="12" t="s">
        <v>852</v>
      </c>
      <c r="B93" s="12" t="s">
        <v>843</v>
      </c>
      <c r="C93" s="12" t="s">
        <v>853</v>
      </c>
      <c r="D93" s="12" t="s">
        <v>854</v>
      </c>
    </row>
    <row r="94" customFormat="false" ht="30" hidden="false" customHeight="true" outlineLevel="0" collapsed="false">
      <c r="A94" s="12" t="s">
        <v>861</v>
      </c>
      <c r="B94" s="12" t="s">
        <v>843</v>
      </c>
      <c r="C94" s="12" t="s">
        <v>862</v>
      </c>
      <c r="D94" s="12" t="s">
        <v>863</v>
      </c>
    </row>
    <row r="95" customFormat="false" ht="30" hidden="false" customHeight="true" outlineLevel="0" collapsed="false">
      <c r="A95" s="12" t="s">
        <v>872</v>
      </c>
      <c r="B95" s="12" t="s">
        <v>871</v>
      </c>
      <c r="C95" s="12" t="s">
        <v>873</v>
      </c>
      <c r="D95" s="12" t="s">
        <v>874</v>
      </c>
    </row>
    <row r="96" customFormat="false" ht="30" hidden="false" customHeight="true" outlineLevel="0" collapsed="false">
      <c r="A96" s="12" t="s">
        <v>881</v>
      </c>
      <c r="B96" s="12" t="s">
        <v>871</v>
      </c>
      <c r="C96" s="12" t="s">
        <v>882</v>
      </c>
      <c r="D96" s="12" t="s">
        <v>883</v>
      </c>
    </row>
    <row r="97" customFormat="false" ht="30" hidden="false" customHeight="true" outlineLevel="0" collapsed="false">
      <c r="A97" s="12" t="s">
        <v>890</v>
      </c>
      <c r="B97" s="12" t="s">
        <v>871</v>
      </c>
      <c r="C97" s="12" t="s">
        <v>891</v>
      </c>
      <c r="D97" s="12" t="s">
        <v>892</v>
      </c>
    </row>
    <row r="98" customFormat="false" ht="30" hidden="false" customHeight="true" outlineLevel="0" collapsed="false">
      <c r="A98" s="12" t="s">
        <v>898</v>
      </c>
      <c r="B98" s="12" t="s">
        <v>871</v>
      </c>
      <c r="C98" s="12" t="s">
        <v>899</v>
      </c>
      <c r="D98" s="12" t="s">
        <v>900</v>
      </c>
    </row>
    <row r="99" customFormat="false" ht="30" hidden="false" customHeight="true" outlineLevel="0" collapsed="false">
      <c r="A99" s="12" t="s">
        <v>906</v>
      </c>
      <c r="B99" s="12" t="s">
        <v>905</v>
      </c>
      <c r="C99" s="12" t="s">
        <v>907</v>
      </c>
      <c r="D99" s="12" t="s">
        <v>908</v>
      </c>
    </row>
    <row r="100" customFormat="false" ht="30" hidden="false" customHeight="true" outlineLevel="0" collapsed="false">
      <c r="A100" s="12" t="s">
        <v>914</v>
      </c>
      <c r="B100" s="12" t="s">
        <v>905</v>
      </c>
      <c r="C100" s="12" t="s">
        <v>915</v>
      </c>
      <c r="D100" s="12" t="s">
        <v>916</v>
      </c>
    </row>
    <row r="101" customFormat="false" ht="30" hidden="false" customHeight="true" outlineLevel="0" collapsed="false">
      <c r="A101" s="12" t="s">
        <v>921</v>
      </c>
      <c r="B101" s="12" t="s">
        <v>905</v>
      </c>
      <c r="C101" s="12" t="s">
        <v>922</v>
      </c>
      <c r="D101" s="12" t="s">
        <v>923</v>
      </c>
    </row>
    <row r="102" customFormat="false" ht="30" hidden="false" customHeight="true" outlineLevel="0" collapsed="false">
      <c r="A102" s="12" t="s">
        <v>929</v>
      </c>
      <c r="B102" s="12" t="s">
        <v>905</v>
      </c>
      <c r="C102" s="12" t="s">
        <v>930</v>
      </c>
      <c r="D102" s="12" t="s">
        <v>931</v>
      </c>
    </row>
    <row r="103" customFormat="false" ht="30" hidden="false" customHeight="true" outlineLevel="0" collapsed="false">
      <c r="A103" s="12" t="s">
        <v>937</v>
      </c>
      <c r="B103" s="12" t="s">
        <v>905</v>
      </c>
      <c r="C103" s="12" t="s">
        <v>938</v>
      </c>
      <c r="D103" s="12" t="s">
        <v>939</v>
      </c>
    </row>
    <row r="104" customFormat="false" ht="30" hidden="false" customHeight="true" outlineLevel="0" collapsed="false">
      <c r="A104" s="12" t="s">
        <v>944</v>
      </c>
      <c r="B104" s="12" t="s">
        <v>905</v>
      </c>
      <c r="C104" s="12" t="s">
        <v>945</v>
      </c>
      <c r="D104" s="12" t="s">
        <v>946</v>
      </c>
    </row>
    <row r="105" customFormat="false" ht="30" hidden="false" customHeight="true" outlineLevel="0" collapsed="false">
      <c r="A105" s="12" t="s">
        <v>952</v>
      </c>
      <c r="B105" s="12" t="s">
        <v>905</v>
      </c>
      <c r="C105" s="12" t="s">
        <v>953</v>
      </c>
      <c r="D105" s="12" t="s">
        <v>954</v>
      </c>
    </row>
    <row r="106" customFormat="false" ht="30" hidden="false" customHeight="true" outlineLevel="0" collapsed="false">
      <c r="A106" s="12" t="s">
        <v>960</v>
      </c>
      <c r="B106" s="12" t="s">
        <v>905</v>
      </c>
      <c r="C106" s="12" t="s">
        <v>961</v>
      </c>
      <c r="D106" s="12" t="s">
        <v>962</v>
      </c>
    </row>
    <row r="107" customFormat="false" ht="30" hidden="false" customHeight="true" outlineLevel="0" collapsed="false">
      <c r="A107" s="12" t="s">
        <v>969</v>
      </c>
      <c r="B107" s="12" t="s">
        <v>905</v>
      </c>
      <c r="C107" s="12" t="s">
        <v>970</v>
      </c>
      <c r="D107" s="12" t="s">
        <v>971</v>
      </c>
    </row>
    <row r="108" customFormat="false" ht="30" hidden="false" customHeight="true" outlineLevel="0" collapsed="false">
      <c r="A108" s="12" t="s">
        <v>977</v>
      </c>
      <c r="B108" s="12" t="s">
        <v>976</v>
      </c>
      <c r="C108" s="12" t="s">
        <v>978</v>
      </c>
      <c r="D108" s="12" t="s">
        <v>979</v>
      </c>
    </row>
    <row r="109" customFormat="false" ht="30" hidden="false" customHeight="true" outlineLevel="0" collapsed="false">
      <c r="A109" s="12" t="s">
        <v>984</v>
      </c>
      <c r="B109" s="12" t="s">
        <v>976</v>
      </c>
      <c r="C109" s="12" t="s">
        <v>985</v>
      </c>
      <c r="D109" s="12" t="s">
        <v>986</v>
      </c>
    </row>
    <row r="110" customFormat="false" ht="30" hidden="false" customHeight="true" outlineLevel="0" collapsed="false">
      <c r="A110" s="12" t="s">
        <v>991</v>
      </c>
      <c r="B110" s="12" t="s">
        <v>976</v>
      </c>
      <c r="C110" s="12" t="s">
        <v>992</v>
      </c>
      <c r="D110" s="12" t="s">
        <v>993</v>
      </c>
    </row>
    <row r="111" customFormat="false" ht="30" hidden="false" customHeight="true" outlineLevel="0" collapsed="false">
      <c r="A111" s="12" t="s">
        <v>997</v>
      </c>
      <c r="B111" s="12" t="s">
        <v>976</v>
      </c>
      <c r="C111" s="12" t="s">
        <v>998</v>
      </c>
      <c r="D111" s="12" t="s">
        <v>999</v>
      </c>
    </row>
    <row r="112" customFormat="false" ht="30" hidden="false" customHeight="true" outlineLevel="0" collapsed="false">
      <c r="A112" s="12" t="s">
        <v>1004</v>
      </c>
      <c r="B112" s="12" t="s">
        <v>1003</v>
      </c>
      <c r="C112" s="12" t="s">
        <v>1005</v>
      </c>
      <c r="D112" s="12" t="s">
        <v>1006</v>
      </c>
    </row>
    <row r="113" customFormat="false" ht="30" hidden="false" customHeight="true" outlineLevel="0" collapsed="false">
      <c r="A113" s="12" t="s">
        <v>1013</v>
      </c>
      <c r="B113" s="12" t="s">
        <v>295</v>
      </c>
      <c r="C113" s="12" t="s">
        <v>1014</v>
      </c>
      <c r="D113" s="12" t="s">
        <v>1015</v>
      </c>
    </row>
    <row r="114" customFormat="false" ht="30" hidden="false" customHeight="true" outlineLevel="0" collapsed="false">
      <c r="A114" s="12" t="s">
        <v>1021</v>
      </c>
      <c r="B114" s="12" t="s">
        <v>295</v>
      </c>
      <c r="C114" s="12" t="s">
        <v>1022</v>
      </c>
      <c r="D114" s="12" t="s">
        <v>1023</v>
      </c>
    </row>
    <row r="115" customFormat="false" ht="30" hidden="false" customHeight="true" outlineLevel="0" collapsed="false">
      <c r="A115" s="12" t="s">
        <v>1029</v>
      </c>
      <c r="B115" s="12" t="s">
        <v>905</v>
      </c>
      <c r="C115" s="12" t="s">
        <v>1030</v>
      </c>
      <c r="D115" s="12" t="s">
        <v>1031</v>
      </c>
    </row>
    <row r="116" customFormat="false" ht="30" hidden="false" customHeight="true" outlineLevel="0" collapsed="false">
      <c r="A116" s="12" t="s">
        <v>1038</v>
      </c>
      <c r="B116" s="12" t="s">
        <v>1037</v>
      </c>
      <c r="C116" s="12" t="s">
        <v>1039</v>
      </c>
      <c r="D116" s="12" t="s">
        <v>1040</v>
      </c>
    </row>
    <row r="117" customFormat="false" ht="30" hidden="false" customHeight="true" outlineLevel="0" collapsed="false">
      <c r="A117" s="12" t="s">
        <v>1045</v>
      </c>
      <c r="B117" s="12" t="s">
        <v>1037</v>
      </c>
      <c r="C117" s="12" t="s">
        <v>1046</v>
      </c>
      <c r="D117" s="12" t="s">
        <v>1047</v>
      </c>
    </row>
    <row r="118" customFormat="false" ht="30" hidden="false" customHeight="true" outlineLevel="0" collapsed="false">
      <c r="A118" s="12" t="s">
        <v>1051</v>
      </c>
      <c r="B118" s="12" t="s">
        <v>1037</v>
      </c>
      <c r="C118" s="12" t="s">
        <v>1052</v>
      </c>
      <c r="D118" s="12" t="s">
        <v>1053</v>
      </c>
    </row>
    <row r="119" customFormat="false" ht="30" hidden="false" customHeight="true" outlineLevel="0" collapsed="false">
      <c r="A119" s="12" t="s">
        <v>1058</v>
      </c>
      <c r="B119" s="12" t="s">
        <v>1057</v>
      </c>
      <c r="C119" s="12" t="s">
        <v>1059</v>
      </c>
      <c r="D119" s="12" t="s">
        <v>1060</v>
      </c>
    </row>
    <row r="120" customFormat="false" ht="30" hidden="false" customHeight="true" outlineLevel="0" collapsed="false">
      <c r="A120" s="12" t="s">
        <v>1063</v>
      </c>
      <c r="B120" s="12" t="s">
        <v>743</v>
      </c>
      <c r="C120" s="12" t="s">
        <v>1064</v>
      </c>
      <c r="D120" s="12" t="s">
        <v>1065</v>
      </c>
    </row>
    <row r="121" customFormat="false" ht="30" hidden="false" customHeight="true" outlineLevel="0" collapsed="false">
      <c r="A121" s="12" t="s">
        <v>1071</v>
      </c>
      <c r="B121" s="12" t="s">
        <v>1070</v>
      </c>
      <c r="C121" s="12" t="s">
        <v>1072</v>
      </c>
      <c r="D121" s="12" t="s">
        <v>1073</v>
      </c>
    </row>
  </sheetData>
  <autoFilter ref="A1:D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4"/>
    <col collapsed="false" customWidth="true" hidden="false" outlineLevel="0" max="4" min="4" style="0" width="78"/>
  </cols>
  <sheetData>
    <row r="2" customFormat="false" ht="19.7" hidden="false" customHeight="false" outlineLevel="0" collapsed="false">
      <c r="B2" s="30" t="s">
        <v>1091</v>
      </c>
    </row>
    <row r="4" customFormat="false" ht="15" hidden="false" customHeight="true" outlineLevel="0" collapsed="false">
      <c r="B4" s="31" t="s">
        <v>1092</v>
      </c>
      <c r="C4" s="31"/>
      <c r="D4" s="31"/>
    </row>
    <row r="5" customFormat="false" ht="15" hidden="false" customHeight="false" outlineLevel="0" collapsed="false">
      <c r="B5" s="31"/>
      <c r="C5" s="31"/>
      <c r="D5" s="31"/>
    </row>
    <row r="7" customFormat="false" ht="15" hidden="false" customHeight="false" outlineLevel="0" collapsed="false">
      <c r="B7" s="32" t="s">
        <v>1093</v>
      </c>
      <c r="C7" s="32" t="s">
        <v>1094</v>
      </c>
      <c r="D7" s="32" t="s">
        <v>1095</v>
      </c>
    </row>
    <row r="8" customFormat="false" ht="25.5" hidden="false" customHeight="true" outlineLevel="0" collapsed="false">
      <c r="B8" s="11" t="s">
        <v>1096</v>
      </c>
      <c r="C8" s="12" t="s">
        <v>1097</v>
      </c>
      <c r="D8" s="12" t="s">
        <v>1098</v>
      </c>
    </row>
    <row r="9" customFormat="false" ht="25.5" hidden="false" customHeight="true" outlineLevel="0" collapsed="false">
      <c r="B9" s="11" t="s">
        <v>1099</v>
      </c>
      <c r="C9" s="12" t="s">
        <v>1100</v>
      </c>
      <c r="D9" s="12" t="s">
        <v>1101</v>
      </c>
    </row>
    <row r="10" customFormat="false" ht="25.5" hidden="false" customHeight="true" outlineLevel="0" collapsed="false">
      <c r="B10" s="11" t="s">
        <v>1102</v>
      </c>
      <c r="C10" s="12" t="s">
        <v>1103</v>
      </c>
      <c r="D10" s="12" t="s">
        <v>1104</v>
      </c>
    </row>
    <row r="11" customFormat="false" ht="25.5" hidden="false" customHeight="true" outlineLevel="0" collapsed="false">
      <c r="B11" s="11" t="s">
        <v>1105</v>
      </c>
      <c r="C11" s="12" t="s">
        <v>1106</v>
      </c>
      <c r="D11" s="12" t="s">
        <v>1107</v>
      </c>
    </row>
    <row r="12" customFormat="false" ht="25.5" hidden="false" customHeight="true" outlineLevel="0" collapsed="false">
      <c r="B12" s="11" t="s">
        <v>1108</v>
      </c>
      <c r="C12" s="12" t="s">
        <v>1109</v>
      </c>
      <c r="D12" s="12" t="s">
        <v>1110</v>
      </c>
    </row>
    <row r="13" customFormat="false" ht="25.5" hidden="false" customHeight="true" outlineLevel="0" collapsed="false">
      <c r="B13" s="11" t="s">
        <v>1111</v>
      </c>
      <c r="C13" s="12" t="s">
        <v>1112</v>
      </c>
      <c r="D13" s="12" t="s">
        <v>1113</v>
      </c>
    </row>
    <row r="14" customFormat="false" ht="25.5" hidden="false" customHeight="true" outlineLevel="0" collapsed="false">
      <c r="B14" s="11" t="s">
        <v>1114</v>
      </c>
      <c r="C14" s="12" t="s">
        <v>1115</v>
      </c>
      <c r="D14" s="12" t="s">
        <v>1116</v>
      </c>
    </row>
    <row r="15" customFormat="false" ht="25.5" hidden="false" customHeight="true" outlineLevel="0" collapsed="false">
      <c r="B15" s="11" t="s">
        <v>1117</v>
      </c>
      <c r="C15" s="12" t="s">
        <v>1118</v>
      </c>
      <c r="D15" s="12" t="s">
        <v>1119</v>
      </c>
    </row>
    <row r="16" customFormat="false" ht="25.5" hidden="false" customHeight="true" outlineLevel="0" collapsed="false">
      <c r="B16" s="11" t="s">
        <v>1120</v>
      </c>
      <c r="C16" s="12" t="s">
        <v>1121</v>
      </c>
      <c r="D16" s="12" t="s">
        <v>1122</v>
      </c>
    </row>
    <row r="17" customFormat="false" ht="25.5" hidden="false" customHeight="true" outlineLevel="0" collapsed="false">
      <c r="B17" s="11" t="s">
        <v>1123</v>
      </c>
      <c r="C17" s="12" t="s">
        <v>1124</v>
      </c>
      <c r="D17" s="12" t="s">
        <v>1125</v>
      </c>
    </row>
    <row r="18" customFormat="false" ht="25.5" hidden="false" customHeight="true" outlineLevel="0" collapsed="false">
      <c r="B18" s="11" t="s">
        <v>1126</v>
      </c>
      <c r="C18" s="12" t="s">
        <v>1127</v>
      </c>
      <c r="D18" s="12" t="s">
        <v>1128</v>
      </c>
    </row>
    <row r="19" customFormat="false" ht="25.5" hidden="false" customHeight="true" outlineLevel="0" collapsed="false">
      <c r="B19" s="11" t="s">
        <v>1129</v>
      </c>
      <c r="C19" s="12" t="s">
        <v>1130</v>
      </c>
      <c r="D19" s="12" t="s">
        <v>1131</v>
      </c>
    </row>
    <row r="20" customFormat="false" ht="25.5" hidden="false" customHeight="true" outlineLevel="0" collapsed="false">
      <c r="B20" s="11" t="s">
        <v>1132</v>
      </c>
      <c r="C20" s="12" t="s">
        <v>1133</v>
      </c>
      <c r="D20" s="12" t="s">
        <v>1134</v>
      </c>
    </row>
    <row r="21" customFormat="false" ht="25.5" hidden="false" customHeight="true" outlineLevel="0" collapsed="false">
      <c r="B21" s="11" t="s">
        <v>1135</v>
      </c>
      <c r="C21" s="12" t="s">
        <v>1136</v>
      </c>
      <c r="D21" s="12" t="s">
        <v>1137</v>
      </c>
    </row>
    <row r="22" customFormat="false" ht="25.5" hidden="false" customHeight="true" outlineLevel="0" collapsed="false">
      <c r="B22" s="11" t="s">
        <v>1138</v>
      </c>
      <c r="C22" s="12" t="s">
        <v>1139</v>
      </c>
      <c r="D22" s="12" t="s">
        <v>1140</v>
      </c>
    </row>
    <row r="23" customFormat="false" ht="25.5" hidden="false" customHeight="true" outlineLevel="0" collapsed="false">
      <c r="B23" s="11" t="s">
        <v>1141</v>
      </c>
      <c r="C23" s="12" t="s">
        <v>1142</v>
      </c>
      <c r="D23" s="12" t="s">
        <v>1143</v>
      </c>
    </row>
    <row r="24" customFormat="false" ht="25.5" hidden="false" customHeight="true" outlineLevel="0" collapsed="false">
      <c r="B24" s="11" t="s">
        <v>1144</v>
      </c>
      <c r="C24" s="12" t="s">
        <v>1145</v>
      </c>
      <c r="D24" s="12" t="s">
        <v>1146</v>
      </c>
    </row>
    <row r="25" customFormat="false" ht="25.5" hidden="false" customHeight="true" outlineLevel="0" collapsed="false">
      <c r="B25" s="11" t="s">
        <v>1147</v>
      </c>
      <c r="C25" s="12" t="s">
        <v>1148</v>
      </c>
      <c r="D25" s="12" t="s">
        <v>1149</v>
      </c>
    </row>
    <row r="26" customFormat="false" ht="25.5" hidden="false" customHeight="true" outlineLevel="0" collapsed="false">
      <c r="B26" s="11" t="s">
        <v>1150</v>
      </c>
      <c r="C26" s="12" t="s">
        <v>1151</v>
      </c>
      <c r="D26" s="12" t="s">
        <v>1152</v>
      </c>
    </row>
    <row r="27" customFormat="false" ht="25.5" hidden="false" customHeight="true" outlineLevel="0" collapsed="false">
      <c r="B27" s="11" t="s">
        <v>1153</v>
      </c>
      <c r="C27" s="12" t="s">
        <v>1154</v>
      </c>
      <c r="D27" s="12" t="s">
        <v>1155</v>
      </c>
    </row>
    <row r="28" customFormat="false" ht="25.5" hidden="false" customHeight="true" outlineLevel="0" collapsed="false">
      <c r="B28" s="11" t="s">
        <v>1156</v>
      </c>
      <c r="C28" s="12" t="s">
        <v>1157</v>
      </c>
      <c r="D28" s="12" t="s">
        <v>1158</v>
      </c>
    </row>
    <row r="29" customFormat="false" ht="25.5" hidden="false" customHeight="true" outlineLevel="0" collapsed="false">
      <c r="B29" s="11" t="s">
        <v>1159</v>
      </c>
      <c r="C29" s="12" t="s">
        <v>1160</v>
      </c>
      <c r="D29" s="12" t="s">
        <v>1161</v>
      </c>
    </row>
    <row r="30" customFormat="false" ht="25.5" hidden="false" customHeight="true" outlineLevel="0" collapsed="false">
      <c r="B30" s="11" t="s">
        <v>1162</v>
      </c>
      <c r="C30" s="12" t="s">
        <v>1163</v>
      </c>
      <c r="D30" s="12" t="s">
        <v>1164</v>
      </c>
    </row>
    <row r="33" customFormat="false" ht="15" hidden="false" customHeight="false" outlineLevel="0" collapsed="false">
      <c r="B33" s="4" t="s">
        <v>1165</v>
      </c>
    </row>
    <row r="34" customFormat="false" ht="15" hidden="false" customHeight="true" outlineLevel="0" collapsed="false">
      <c r="B34" s="31" t="s">
        <v>1166</v>
      </c>
      <c r="C34" s="31"/>
      <c r="D34" s="31"/>
    </row>
    <row r="35" customFormat="false" ht="15" hidden="false" customHeight="false" outlineLevel="0" collapsed="false">
      <c r="B35" s="31"/>
      <c r="C35" s="31"/>
      <c r="D35" s="31"/>
    </row>
    <row r="36" customFormat="false" ht="15" hidden="false" customHeight="false" outlineLevel="0" collapsed="false">
      <c r="B36" s="31"/>
      <c r="C36" s="31"/>
      <c r="D36" s="31"/>
    </row>
  </sheetData>
  <mergeCells count="2">
    <mergeCell ref="B4:D5"/>
    <mergeCell ref="B34: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2026-09-04T13:38:29Z</dcterms:created>
  <dc:creator>EOP/MDO Hardening-Standard</dc:creator>
  <dc:description>Wiederverwendbare Kundenmethodik, Recherchestand August 2026</dc:description>
  <dc:language>en-US</dc:language>
  <cp:lastModifiedBy/>
  <dcterms:modified xsi:type="dcterms:W3CDTF">2026-09-04T13:38:29Z</dcterms:modified>
  <cp:revision>0</cp:revision>
  <dc:subject>Hardening-Standard fuer Exchange Online Protection und Defender for Office 365</dc:subject>
  <dc:title>EOP / MDO Assessment-Checkliste</dc:title>
</cp:coreProperties>
</file>

<file path=docProps/custom.xml><?xml version="1.0" encoding="utf-8"?>
<Properties xmlns="http://schemas.openxmlformats.org/officeDocument/2006/custom-properties" xmlns:vt="http://schemas.openxmlformats.org/officeDocument/2006/docPropsVTypes"/>
</file>